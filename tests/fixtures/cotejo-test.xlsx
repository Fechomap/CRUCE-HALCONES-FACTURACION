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AS HALCONES\Downloads\"/>
    </mc:Choice>
  </mc:AlternateContent>
  <xr:revisionPtr revIDLastSave="0" documentId="8_{A71113FE-3BD9-4050-BB54-5CBA2037E55B}" xr6:coauthVersionLast="47" xr6:coauthVersionMax="47" xr10:uidLastSave="{00000000-0000-0000-0000-000000000000}"/>
  <bookViews>
    <workbookView xWindow="-120" yWindow="-120" windowWidth="29040" windowHeight="15720" xr2:uid="{3CFDB6DF-7A44-46A0-AAC4-802CB6D64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" i="1" l="1"/>
  <c r="BV2" i="1"/>
  <c r="BP2" i="1"/>
  <c r="BO2" i="1"/>
  <c r="BN2" i="1"/>
  <c r="BM2" i="1"/>
  <c r="BL2" i="1"/>
  <c r="BK2" i="1"/>
  <c r="BJ2" i="1"/>
  <c r="BQ2" i="1" s="1"/>
  <c r="BI2" i="1"/>
  <c r="BH2" i="1"/>
  <c r="BG2" i="1"/>
  <c r="BE2" i="1"/>
  <c r="BF2" i="1" s="1"/>
  <c r="BE3" i="1"/>
  <c r="BF3" i="1" s="1"/>
  <c r="BG3" i="1"/>
  <c r="BH3" i="1"/>
  <c r="BI3" i="1"/>
  <c r="BJ3" i="1" s="1"/>
  <c r="BQ3" i="1" s="1"/>
  <c r="BK3" i="1"/>
  <c r="BL3" i="1"/>
  <c r="BM3" i="1"/>
  <c r="BN3" i="1"/>
  <c r="BO3" i="1"/>
  <c r="BP3" i="1"/>
  <c r="BV3" i="1" s="1"/>
  <c r="BX3" i="1"/>
  <c r="BE4" i="1"/>
  <c r="BF4" i="1" s="1"/>
  <c r="BG4" i="1"/>
  <c r="BH4" i="1"/>
  <c r="BI4" i="1"/>
  <c r="BJ4" i="1"/>
  <c r="BQ4" i="1" s="1"/>
  <c r="BK4" i="1"/>
  <c r="BL4" i="1"/>
  <c r="BM4" i="1"/>
  <c r="BN4" i="1"/>
  <c r="BO4" i="1"/>
  <c r="BP4" i="1"/>
  <c r="BV4" i="1" s="1"/>
  <c r="BX4" i="1"/>
  <c r="BE5" i="1"/>
  <c r="BF5" i="1" s="1"/>
  <c r="BG5" i="1"/>
  <c r="BH5" i="1"/>
  <c r="BI5" i="1"/>
  <c r="BJ5" i="1" s="1"/>
  <c r="BQ5" i="1" s="1"/>
  <c r="BK5" i="1"/>
  <c r="BL5" i="1"/>
  <c r="BM5" i="1"/>
  <c r="BN5" i="1"/>
  <c r="BO5" i="1"/>
  <c r="BP5" i="1"/>
  <c r="BV5" i="1"/>
  <c r="BX5" i="1"/>
  <c r="BE6" i="1"/>
  <c r="BF6" i="1" s="1"/>
  <c r="BG6" i="1"/>
  <c r="BH6" i="1"/>
  <c r="BI6" i="1"/>
  <c r="BJ6" i="1"/>
  <c r="BK6" i="1"/>
  <c r="BL6" i="1"/>
  <c r="BM6" i="1"/>
  <c r="BN6" i="1"/>
  <c r="BO6" i="1"/>
  <c r="BP6" i="1"/>
  <c r="BV6" i="1" s="1"/>
  <c r="BX6" i="1"/>
  <c r="BE7" i="1"/>
  <c r="BF7" i="1"/>
  <c r="BG7" i="1"/>
  <c r="BH7" i="1"/>
  <c r="BI7" i="1"/>
  <c r="BJ7" i="1"/>
  <c r="BK7" i="1"/>
  <c r="BQ7" i="1" s="1"/>
  <c r="BL7" i="1"/>
  <c r="BM7" i="1"/>
  <c r="BN7" i="1"/>
  <c r="BO7" i="1"/>
  <c r="BP7" i="1"/>
  <c r="BV7" i="1" s="1"/>
  <c r="BX7" i="1"/>
  <c r="BE8" i="1"/>
  <c r="BF8" i="1"/>
  <c r="BG8" i="1"/>
  <c r="BH8" i="1"/>
  <c r="BI8" i="1"/>
  <c r="BJ8" i="1"/>
  <c r="BQ8" i="1" s="1"/>
  <c r="BK8" i="1"/>
  <c r="BL8" i="1"/>
  <c r="BM8" i="1"/>
  <c r="BN8" i="1"/>
  <c r="BO8" i="1"/>
  <c r="BP8" i="1"/>
  <c r="BV8" i="1"/>
  <c r="BX8" i="1"/>
  <c r="BE9" i="1"/>
  <c r="BF9" i="1" s="1"/>
  <c r="BG9" i="1"/>
  <c r="BJ9" i="1" s="1"/>
  <c r="BQ9" i="1" s="1"/>
  <c r="BH9" i="1"/>
  <c r="BI9" i="1"/>
  <c r="BK9" i="1"/>
  <c r="BL9" i="1"/>
  <c r="BM9" i="1"/>
  <c r="BN9" i="1"/>
  <c r="BO9" i="1"/>
  <c r="BP9" i="1"/>
  <c r="BV9" i="1"/>
  <c r="BX9" i="1"/>
  <c r="BE10" i="1"/>
  <c r="BF10" i="1"/>
  <c r="BG10" i="1"/>
  <c r="BH10" i="1"/>
  <c r="BI10" i="1"/>
  <c r="BJ10" i="1" s="1"/>
  <c r="BQ10" i="1" s="1"/>
  <c r="BK10" i="1"/>
  <c r="BL10" i="1"/>
  <c r="BM10" i="1"/>
  <c r="BN10" i="1"/>
  <c r="BO10" i="1"/>
  <c r="BP10" i="1"/>
  <c r="BV10" i="1" s="1"/>
  <c r="BX10" i="1"/>
  <c r="BE11" i="1"/>
  <c r="BF11" i="1"/>
  <c r="BG11" i="1"/>
  <c r="BH11" i="1"/>
  <c r="BI11" i="1"/>
  <c r="BJ11" i="1"/>
  <c r="BQ11" i="1" s="1"/>
  <c r="BK11" i="1"/>
  <c r="BL11" i="1"/>
  <c r="BM11" i="1"/>
  <c r="BN11" i="1"/>
  <c r="BO11" i="1"/>
  <c r="BP11" i="1"/>
  <c r="BV11" i="1"/>
  <c r="BX11" i="1"/>
  <c r="BE12" i="1"/>
  <c r="BF12" i="1"/>
  <c r="BG12" i="1"/>
  <c r="BH12" i="1"/>
  <c r="BI12" i="1"/>
  <c r="BJ12" i="1" s="1"/>
  <c r="BQ12" i="1" s="1"/>
  <c r="BK12" i="1"/>
  <c r="BL12" i="1"/>
  <c r="BM12" i="1"/>
  <c r="BN12" i="1"/>
  <c r="BO12" i="1"/>
  <c r="BP12" i="1"/>
  <c r="BV12" i="1"/>
  <c r="BX12" i="1"/>
  <c r="BE13" i="1"/>
  <c r="BF13" i="1"/>
  <c r="BG13" i="1"/>
  <c r="BH13" i="1"/>
  <c r="BJ13" i="1" s="1"/>
  <c r="BQ13" i="1" s="1"/>
  <c r="BI13" i="1"/>
  <c r="BK13" i="1"/>
  <c r="BL13" i="1"/>
  <c r="BM13" i="1"/>
  <c r="BN13" i="1"/>
  <c r="BO13" i="1"/>
  <c r="BP13" i="1"/>
  <c r="BV13" i="1" s="1"/>
  <c r="BX13" i="1"/>
  <c r="BE14" i="1"/>
  <c r="BF14" i="1" s="1"/>
  <c r="BG14" i="1"/>
  <c r="BH14" i="1"/>
  <c r="BJ14" i="1" s="1"/>
  <c r="BQ14" i="1" s="1"/>
  <c r="BI14" i="1"/>
  <c r="BK14" i="1"/>
  <c r="BL14" i="1"/>
  <c r="BM14" i="1"/>
  <c r="BN14" i="1"/>
  <c r="BO14" i="1"/>
  <c r="BP14" i="1"/>
  <c r="BV14" i="1"/>
  <c r="BX14" i="1"/>
  <c r="BE15" i="1"/>
  <c r="BF15" i="1"/>
  <c r="BG15" i="1"/>
  <c r="BH15" i="1"/>
  <c r="BI15" i="1"/>
  <c r="BJ15" i="1" s="1"/>
  <c r="BQ15" i="1" s="1"/>
  <c r="BK15" i="1"/>
  <c r="BL15" i="1"/>
  <c r="BM15" i="1"/>
  <c r="BN15" i="1"/>
  <c r="BO15" i="1"/>
  <c r="BP15" i="1"/>
  <c r="BV15" i="1"/>
  <c r="BX15" i="1"/>
  <c r="BE16" i="1"/>
  <c r="BF16" i="1" s="1"/>
  <c r="BG16" i="1"/>
  <c r="BH16" i="1"/>
  <c r="BI16" i="1"/>
  <c r="BJ16" i="1" s="1"/>
  <c r="BQ16" i="1" s="1"/>
  <c r="BK16" i="1"/>
  <c r="BL16" i="1"/>
  <c r="BM16" i="1"/>
  <c r="BN16" i="1"/>
  <c r="BO16" i="1"/>
  <c r="BP16" i="1"/>
  <c r="BV16" i="1" s="1"/>
  <c r="BX16" i="1"/>
  <c r="BE17" i="1"/>
  <c r="BF17" i="1"/>
  <c r="BG17" i="1"/>
  <c r="BH17" i="1"/>
  <c r="BI17" i="1"/>
  <c r="BJ17" i="1" s="1"/>
  <c r="BQ17" i="1" s="1"/>
  <c r="BK17" i="1"/>
  <c r="BL17" i="1"/>
  <c r="BM17" i="1"/>
  <c r="BN17" i="1"/>
  <c r="BO17" i="1"/>
  <c r="BP17" i="1"/>
  <c r="BV17" i="1"/>
  <c r="BX17" i="1"/>
  <c r="BE18" i="1"/>
  <c r="BF18" i="1"/>
  <c r="BG18" i="1"/>
  <c r="BH18" i="1"/>
  <c r="BI18" i="1"/>
  <c r="BJ18" i="1" s="1"/>
  <c r="BQ18" i="1" s="1"/>
  <c r="BK18" i="1"/>
  <c r="BL18" i="1"/>
  <c r="BM18" i="1"/>
  <c r="BN18" i="1"/>
  <c r="BO18" i="1"/>
  <c r="BP18" i="1"/>
  <c r="BV18" i="1"/>
  <c r="BX18" i="1"/>
  <c r="BE19" i="1"/>
  <c r="BF19" i="1" s="1"/>
  <c r="BG19" i="1"/>
  <c r="BH19" i="1"/>
  <c r="BI19" i="1"/>
  <c r="BJ19" i="1"/>
  <c r="BK19" i="1"/>
  <c r="BL19" i="1"/>
  <c r="BM19" i="1"/>
  <c r="BN19" i="1"/>
  <c r="BO19" i="1"/>
  <c r="BP19" i="1"/>
  <c r="BV19" i="1" s="1"/>
  <c r="BQ19" i="1"/>
  <c r="BU19" i="1" s="1"/>
  <c r="BW19" i="1" s="1"/>
  <c r="BR19" i="1"/>
  <c r="BS19" i="1"/>
  <c r="BT19" i="1"/>
  <c r="BX19" i="1"/>
  <c r="BE20" i="1"/>
  <c r="BF20" i="1" s="1"/>
  <c r="BG20" i="1"/>
  <c r="BH20" i="1"/>
  <c r="BI20" i="1"/>
  <c r="BJ20" i="1"/>
  <c r="BQ20" i="1" s="1"/>
  <c r="BK20" i="1"/>
  <c r="BL20" i="1"/>
  <c r="BM20" i="1"/>
  <c r="BN20" i="1"/>
  <c r="BO20" i="1"/>
  <c r="BP20" i="1"/>
  <c r="BV20" i="1"/>
  <c r="BX20" i="1"/>
  <c r="BE21" i="1"/>
  <c r="BF21" i="1" s="1"/>
  <c r="BG21" i="1"/>
  <c r="BH21" i="1"/>
  <c r="BI21" i="1"/>
  <c r="BJ21" i="1" s="1"/>
  <c r="BQ21" i="1" s="1"/>
  <c r="BK21" i="1"/>
  <c r="BL21" i="1"/>
  <c r="BM21" i="1"/>
  <c r="BN21" i="1"/>
  <c r="BO21" i="1"/>
  <c r="BP21" i="1"/>
  <c r="BV21" i="1"/>
  <c r="BX21" i="1"/>
  <c r="BE22" i="1"/>
  <c r="BF22" i="1" s="1"/>
  <c r="BG22" i="1"/>
  <c r="BH22" i="1"/>
  <c r="BI22" i="1"/>
  <c r="BJ22" i="1"/>
  <c r="BK22" i="1"/>
  <c r="BL22" i="1"/>
  <c r="BM22" i="1"/>
  <c r="BN22" i="1"/>
  <c r="BO22" i="1"/>
  <c r="BP22" i="1"/>
  <c r="BV22" i="1" s="1"/>
  <c r="BX22" i="1"/>
  <c r="BE23" i="1"/>
  <c r="BF23" i="1"/>
  <c r="BG23" i="1"/>
  <c r="BH23" i="1"/>
  <c r="BJ23" i="1" s="1"/>
  <c r="BQ23" i="1" s="1"/>
  <c r="BI23" i="1"/>
  <c r="BK23" i="1"/>
  <c r="BL23" i="1"/>
  <c r="BM23" i="1"/>
  <c r="BN23" i="1"/>
  <c r="BO23" i="1"/>
  <c r="BP23" i="1"/>
  <c r="BV23" i="1" s="1"/>
  <c r="BX23" i="1"/>
  <c r="BE24" i="1"/>
  <c r="BF24" i="1"/>
  <c r="BG24" i="1"/>
  <c r="BH24" i="1"/>
  <c r="BI24" i="1"/>
  <c r="BJ24" i="1"/>
  <c r="BQ24" i="1" s="1"/>
  <c r="BK24" i="1"/>
  <c r="BL24" i="1"/>
  <c r="BM24" i="1"/>
  <c r="BN24" i="1"/>
  <c r="BO24" i="1"/>
  <c r="BP24" i="1"/>
  <c r="BV24" i="1"/>
  <c r="BX24" i="1"/>
  <c r="BE25" i="1"/>
  <c r="BF25" i="1" s="1"/>
  <c r="BG25" i="1"/>
  <c r="BH25" i="1"/>
  <c r="BI25" i="1"/>
  <c r="BJ25" i="1"/>
  <c r="BK25" i="1"/>
  <c r="BL25" i="1"/>
  <c r="BM25" i="1"/>
  <c r="BN25" i="1"/>
  <c r="BO25" i="1"/>
  <c r="BP25" i="1"/>
  <c r="BQ25" i="1"/>
  <c r="BY25" i="1" s="1"/>
  <c r="BT25" i="1"/>
  <c r="BV25" i="1"/>
  <c r="BX25" i="1"/>
  <c r="BE26" i="1"/>
  <c r="BF26" i="1"/>
  <c r="BG26" i="1"/>
  <c r="BH26" i="1"/>
  <c r="BI26" i="1"/>
  <c r="BJ26" i="1" s="1"/>
  <c r="BQ26" i="1" s="1"/>
  <c r="BK26" i="1"/>
  <c r="BL26" i="1"/>
  <c r="BM26" i="1"/>
  <c r="BN26" i="1"/>
  <c r="BO26" i="1"/>
  <c r="BP26" i="1"/>
  <c r="BV26" i="1" s="1"/>
  <c r="BX26" i="1"/>
  <c r="BE27" i="1"/>
  <c r="BF27" i="1"/>
  <c r="BG27" i="1"/>
  <c r="BH27" i="1"/>
  <c r="BI27" i="1"/>
  <c r="BJ27" i="1"/>
  <c r="BQ27" i="1" s="1"/>
  <c r="BK27" i="1"/>
  <c r="BL27" i="1"/>
  <c r="BM27" i="1"/>
  <c r="BN27" i="1"/>
  <c r="BO27" i="1"/>
  <c r="BP27" i="1"/>
  <c r="BV27" i="1"/>
  <c r="BX27" i="1"/>
  <c r="BE28" i="1"/>
  <c r="BF28" i="1"/>
  <c r="BG28" i="1"/>
  <c r="BH28" i="1"/>
  <c r="BI28" i="1"/>
  <c r="BJ28" i="1" s="1"/>
  <c r="BQ28" i="1" s="1"/>
  <c r="BK28" i="1"/>
  <c r="BL28" i="1"/>
  <c r="BM28" i="1"/>
  <c r="BN28" i="1"/>
  <c r="BO28" i="1"/>
  <c r="BP28" i="1"/>
  <c r="BV28" i="1"/>
  <c r="BX28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V29" i="1" s="1"/>
  <c r="BQ29" i="1"/>
  <c r="BX29" i="1"/>
  <c r="BE30" i="1"/>
  <c r="BF30" i="1" s="1"/>
  <c r="BG30" i="1"/>
  <c r="BH30" i="1"/>
  <c r="BI30" i="1"/>
  <c r="BJ30" i="1"/>
  <c r="BQ30" i="1" s="1"/>
  <c r="BK30" i="1"/>
  <c r="BL30" i="1"/>
  <c r="BM30" i="1"/>
  <c r="BN30" i="1"/>
  <c r="BO30" i="1"/>
  <c r="BP30" i="1"/>
  <c r="BV30" i="1"/>
  <c r="BX30" i="1"/>
  <c r="BE31" i="1"/>
  <c r="BF31" i="1"/>
  <c r="BG31" i="1"/>
  <c r="BH31" i="1"/>
  <c r="BI31" i="1"/>
  <c r="BJ31" i="1" s="1"/>
  <c r="BQ31" i="1" s="1"/>
  <c r="BK31" i="1"/>
  <c r="BL31" i="1"/>
  <c r="BM31" i="1"/>
  <c r="BN31" i="1"/>
  <c r="BO31" i="1"/>
  <c r="BP31" i="1"/>
  <c r="BV31" i="1"/>
  <c r="BX31" i="1"/>
  <c r="BE32" i="1"/>
  <c r="BF32" i="1" s="1"/>
  <c r="BG32" i="1"/>
  <c r="BH32" i="1"/>
  <c r="BI32" i="1"/>
  <c r="BJ32" i="1" s="1"/>
  <c r="BQ32" i="1" s="1"/>
  <c r="BK32" i="1"/>
  <c r="BL32" i="1"/>
  <c r="BM32" i="1"/>
  <c r="BN32" i="1"/>
  <c r="BO32" i="1"/>
  <c r="BP32" i="1"/>
  <c r="BV32" i="1" s="1"/>
  <c r="BX32" i="1"/>
  <c r="BE33" i="1"/>
  <c r="BF33" i="1"/>
  <c r="BG33" i="1"/>
  <c r="BH33" i="1"/>
  <c r="BI33" i="1"/>
  <c r="BJ33" i="1" s="1"/>
  <c r="BQ33" i="1" s="1"/>
  <c r="BK33" i="1"/>
  <c r="BL33" i="1"/>
  <c r="BM33" i="1"/>
  <c r="BN33" i="1"/>
  <c r="BO33" i="1"/>
  <c r="BP33" i="1"/>
  <c r="BV33" i="1"/>
  <c r="BX33" i="1"/>
  <c r="BE34" i="1"/>
  <c r="BF34" i="1"/>
  <c r="BG34" i="1"/>
  <c r="BH34" i="1"/>
  <c r="BI34" i="1"/>
  <c r="BJ34" i="1" s="1"/>
  <c r="BQ34" i="1" s="1"/>
  <c r="BK34" i="1"/>
  <c r="BL34" i="1"/>
  <c r="BM34" i="1"/>
  <c r="BN34" i="1"/>
  <c r="BO34" i="1"/>
  <c r="BP34" i="1"/>
  <c r="BV34" i="1"/>
  <c r="BX34" i="1"/>
  <c r="BE35" i="1"/>
  <c r="BF35" i="1" s="1"/>
  <c r="BG35" i="1"/>
  <c r="BH35" i="1"/>
  <c r="BI35" i="1"/>
  <c r="BJ35" i="1"/>
  <c r="BK35" i="1"/>
  <c r="BL35" i="1"/>
  <c r="BM35" i="1"/>
  <c r="BN35" i="1"/>
  <c r="BO35" i="1"/>
  <c r="BP35" i="1"/>
  <c r="BV35" i="1" s="1"/>
  <c r="BQ35" i="1"/>
  <c r="BU35" i="1" s="1"/>
  <c r="BR35" i="1"/>
  <c r="BS35" i="1"/>
  <c r="BT35" i="1"/>
  <c r="BX35" i="1"/>
  <c r="BE36" i="1"/>
  <c r="BF36" i="1" s="1"/>
  <c r="BG36" i="1"/>
  <c r="BH36" i="1"/>
  <c r="BI36" i="1"/>
  <c r="BJ36" i="1"/>
  <c r="BQ36" i="1" s="1"/>
  <c r="BK36" i="1"/>
  <c r="BL36" i="1"/>
  <c r="BM36" i="1"/>
  <c r="BN36" i="1"/>
  <c r="BO36" i="1"/>
  <c r="BP36" i="1"/>
  <c r="BV36" i="1"/>
  <c r="BX36" i="1"/>
  <c r="BE37" i="1"/>
  <c r="BF37" i="1" s="1"/>
  <c r="BG37" i="1"/>
  <c r="BH37" i="1"/>
  <c r="BI37" i="1"/>
  <c r="BJ37" i="1" s="1"/>
  <c r="BQ37" i="1" s="1"/>
  <c r="BK37" i="1"/>
  <c r="BL37" i="1"/>
  <c r="BM37" i="1"/>
  <c r="BN37" i="1"/>
  <c r="BO37" i="1"/>
  <c r="BP37" i="1"/>
  <c r="BV37" i="1"/>
  <c r="BX37" i="1"/>
  <c r="BE38" i="1"/>
  <c r="BF38" i="1" s="1"/>
  <c r="BG38" i="1"/>
  <c r="BH38" i="1"/>
  <c r="BI38" i="1"/>
  <c r="BJ38" i="1"/>
  <c r="BK38" i="1"/>
  <c r="BL38" i="1"/>
  <c r="BM38" i="1"/>
  <c r="BN38" i="1"/>
  <c r="BO38" i="1"/>
  <c r="BP38" i="1"/>
  <c r="BV38" i="1" s="1"/>
  <c r="BX38" i="1"/>
  <c r="BE39" i="1"/>
  <c r="BF39" i="1"/>
  <c r="BG39" i="1"/>
  <c r="BH39" i="1"/>
  <c r="BJ39" i="1" s="1"/>
  <c r="BQ39" i="1" s="1"/>
  <c r="BI39" i="1"/>
  <c r="BK39" i="1"/>
  <c r="BL39" i="1"/>
  <c r="BM39" i="1"/>
  <c r="BN39" i="1"/>
  <c r="BO39" i="1"/>
  <c r="BP39" i="1"/>
  <c r="BV39" i="1" s="1"/>
  <c r="BX39" i="1"/>
  <c r="BE40" i="1"/>
  <c r="BF40" i="1"/>
  <c r="BG40" i="1"/>
  <c r="BH40" i="1"/>
  <c r="BI40" i="1"/>
  <c r="BJ40" i="1"/>
  <c r="BQ40" i="1" s="1"/>
  <c r="BK40" i="1"/>
  <c r="BL40" i="1"/>
  <c r="BM40" i="1"/>
  <c r="BN40" i="1"/>
  <c r="BO40" i="1"/>
  <c r="BP40" i="1"/>
  <c r="BV40" i="1"/>
  <c r="BX40" i="1"/>
  <c r="BE41" i="1"/>
  <c r="BF41" i="1" s="1"/>
  <c r="BG41" i="1"/>
  <c r="BH41" i="1"/>
  <c r="BI41" i="1"/>
  <c r="BJ41" i="1"/>
  <c r="BK41" i="1"/>
  <c r="BL41" i="1"/>
  <c r="BM41" i="1"/>
  <c r="BN41" i="1"/>
  <c r="BO41" i="1"/>
  <c r="BP41" i="1"/>
  <c r="BQ41" i="1"/>
  <c r="BY41" i="1" s="1"/>
  <c r="BT41" i="1"/>
  <c r="BV41" i="1"/>
  <c r="BX41" i="1"/>
  <c r="BE42" i="1"/>
  <c r="BF42" i="1"/>
  <c r="BG42" i="1"/>
  <c r="BH42" i="1"/>
  <c r="BI42" i="1"/>
  <c r="BJ42" i="1" s="1"/>
  <c r="BQ42" i="1" s="1"/>
  <c r="BK42" i="1"/>
  <c r="BL42" i="1"/>
  <c r="BM42" i="1"/>
  <c r="BN42" i="1"/>
  <c r="BO42" i="1"/>
  <c r="BP42" i="1"/>
  <c r="BV42" i="1" s="1"/>
  <c r="BX42" i="1"/>
  <c r="BE43" i="1"/>
  <c r="BF43" i="1"/>
  <c r="BG43" i="1"/>
  <c r="BH43" i="1"/>
  <c r="BI43" i="1"/>
  <c r="BJ43" i="1"/>
  <c r="BQ43" i="1" s="1"/>
  <c r="BK43" i="1"/>
  <c r="BL43" i="1"/>
  <c r="BM43" i="1"/>
  <c r="BN43" i="1"/>
  <c r="BO43" i="1"/>
  <c r="BP43" i="1"/>
  <c r="BV43" i="1"/>
  <c r="BX43" i="1"/>
  <c r="BE44" i="1"/>
  <c r="BF44" i="1"/>
  <c r="BG44" i="1"/>
  <c r="BH44" i="1"/>
  <c r="BI44" i="1"/>
  <c r="BJ44" i="1" s="1"/>
  <c r="BQ44" i="1" s="1"/>
  <c r="BK44" i="1"/>
  <c r="BL44" i="1"/>
  <c r="BM44" i="1"/>
  <c r="BN44" i="1"/>
  <c r="BO44" i="1"/>
  <c r="BP44" i="1"/>
  <c r="BV44" i="1"/>
  <c r="BX44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V45" i="1" s="1"/>
  <c r="BQ45" i="1"/>
  <c r="BX45" i="1"/>
  <c r="BE46" i="1"/>
  <c r="BF46" i="1" s="1"/>
  <c r="BG46" i="1"/>
  <c r="BH46" i="1"/>
  <c r="BI46" i="1"/>
  <c r="BJ46" i="1"/>
  <c r="BQ46" i="1" s="1"/>
  <c r="BK46" i="1"/>
  <c r="BL46" i="1"/>
  <c r="BM46" i="1"/>
  <c r="BN46" i="1"/>
  <c r="BO46" i="1"/>
  <c r="BP46" i="1"/>
  <c r="BV46" i="1"/>
  <c r="BX46" i="1"/>
  <c r="BE47" i="1"/>
  <c r="BF47" i="1"/>
  <c r="BG47" i="1"/>
  <c r="BH47" i="1"/>
  <c r="BJ47" i="1" s="1"/>
  <c r="BQ47" i="1" s="1"/>
  <c r="BI47" i="1"/>
  <c r="BK47" i="1"/>
  <c r="BL47" i="1"/>
  <c r="BM47" i="1"/>
  <c r="BN47" i="1"/>
  <c r="BO47" i="1"/>
  <c r="BP47" i="1"/>
  <c r="BV47" i="1"/>
  <c r="BX47" i="1"/>
  <c r="BE48" i="1"/>
  <c r="BF48" i="1" s="1"/>
  <c r="BG48" i="1"/>
  <c r="BH48" i="1"/>
  <c r="BI48" i="1"/>
  <c r="BJ48" i="1" s="1"/>
  <c r="BQ48" i="1" s="1"/>
  <c r="BK48" i="1"/>
  <c r="BL48" i="1"/>
  <c r="BM48" i="1"/>
  <c r="BN48" i="1"/>
  <c r="BO48" i="1"/>
  <c r="BP48" i="1"/>
  <c r="BV48" i="1" s="1"/>
  <c r="BX48" i="1"/>
  <c r="BE49" i="1"/>
  <c r="BF49" i="1"/>
  <c r="BG49" i="1"/>
  <c r="BH49" i="1"/>
  <c r="BI49" i="1"/>
  <c r="BJ49" i="1" s="1"/>
  <c r="BQ49" i="1" s="1"/>
  <c r="BK49" i="1"/>
  <c r="BL49" i="1"/>
  <c r="BM49" i="1"/>
  <c r="BN49" i="1"/>
  <c r="BO49" i="1"/>
  <c r="BP49" i="1"/>
  <c r="BV49" i="1"/>
  <c r="BX49" i="1"/>
  <c r="BE50" i="1"/>
  <c r="BF50" i="1"/>
  <c r="BG50" i="1"/>
  <c r="BH50" i="1"/>
  <c r="BI50" i="1"/>
  <c r="BJ50" i="1" s="1"/>
  <c r="BQ50" i="1" s="1"/>
  <c r="BK50" i="1"/>
  <c r="BL50" i="1"/>
  <c r="BM50" i="1"/>
  <c r="BN50" i="1"/>
  <c r="BO50" i="1"/>
  <c r="BP50" i="1"/>
  <c r="BV50" i="1"/>
  <c r="BX50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V51" i="1" s="1"/>
  <c r="BQ51" i="1"/>
  <c r="BR51" i="1"/>
  <c r="BS51" i="1"/>
  <c r="BX51" i="1"/>
  <c r="BE52" i="1"/>
  <c r="BF52" i="1" s="1"/>
  <c r="BG52" i="1"/>
  <c r="BH52" i="1"/>
  <c r="BI52" i="1"/>
  <c r="BJ52" i="1"/>
  <c r="BQ52" i="1" s="1"/>
  <c r="BK52" i="1"/>
  <c r="BL52" i="1"/>
  <c r="BM52" i="1"/>
  <c r="BN52" i="1"/>
  <c r="BO52" i="1"/>
  <c r="BP52" i="1"/>
  <c r="BV52" i="1"/>
  <c r="BX52" i="1"/>
  <c r="BE53" i="1"/>
  <c r="BF53" i="1" s="1"/>
  <c r="BG53" i="1"/>
  <c r="BH53" i="1"/>
  <c r="BI53" i="1"/>
  <c r="BJ53" i="1" s="1"/>
  <c r="BQ53" i="1" s="1"/>
  <c r="BK53" i="1"/>
  <c r="BL53" i="1"/>
  <c r="BM53" i="1"/>
  <c r="BN53" i="1"/>
  <c r="BO53" i="1"/>
  <c r="BP53" i="1"/>
  <c r="BV53" i="1"/>
  <c r="BX53" i="1"/>
  <c r="BE54" i="1"/>
  <c r="BF54" i="1" s="1"/>
  <c r="BG54" i="1"/>
  <c r="BH54" i="1"/>
  <c r="BI54" i="1"/>
  <c r="BJ54" i="1"/>
  <c r="BK54" i="1"/>
  <c r="BL54" i="1"/>
  <c r="BM54" i="1"/>
  <c r="BN54" i="1"/>
  <c r="BO54" i="1"/>
  <c r="BP54" i="1"/>
  <c r="BV54" i="1" s="1"/>
  <c r="BX54" i="1"/>
  <c r="BE55" i="1"/>
  <c r="BF55" i="1"/>
  <c r="BG55" i="1"/>
  <c r="BH55" i="1"/>
  <c r="BJ55" i="1" s="1"/>
  <c r="BQ55" i="1" s="1"/>
  <c r="BI55" i="1"/>
  <c r="BK55" i="1"/>
  <c r="BL55" i="1"/>
  <c r="BM55" i="1"/>
  <c r="BN55" i="1"/>
  <c r="BO55" i="1"/>
  <c r="BP55" i="1"/>
  <c r="BV55" i="1" s="1"/>
  <c r="BX55" i="1"/>
  <c r="BE56" i="1"/>
  <c r="BF56" i="1"/>
  <c r="BG56" i="1"/>
  <c r="BH56" i="1"/>
  <c r="BI56" i="1"/>
  <c r="BJ56" i="1"/>
  <c r="BQ56" i="1" s="1"/>
  <c r="BK56" i="1"/>
  <c r="BL56" i="1"/>
  <c r="BM56" i="1"/>
  <c r="BN56" i="1"/>
  <c r="BO56" i="1"/>
  <c r="BP56" i="1"/>
  <c r="BV56" i="1"/>
  <c r="BX56" i="1"/>
  <c r="BE57" i="1"/>
  <c r="BF57" i="1" s="1"/>
  <c r="BG57" i="1"/>
  <c r="BH57" i="1"/>
  <c r="BI57" i="1"/>
  <c r="BJ57" i="1"/>
  <c r="BK57" i="1"/>
  <c r="BL57" i="1"/>
  <c r="BM57" i="1"/>
  <c r="BN57" i="1"/>
  <c r="BO57" i="1"/>
  <c r="BP57" i="1"/>
  <c r="BQ57" i="1"/>
  <c r="BY57" i="1" s="1"/>
  <c r="BT57" i="1"/>
  <c r="BV57" i="1"/>
  <c r="BX57" i="1"/>
  <c r="BE58" i="1"/>
  <c r="BF58" i="1"/>
  <c r="BG58" i="1"/>
  <c r="BH58" i="1"/>
  <c r="BI58" i="1"/>
  <c r="BJ58" i="1" s="1"/>
  <c r="BQ58" i="1" s="1"/>
  <c r="BK58" i="1"/>
  <c r="BL58" i="1"/>
  <c r="BM58" i="1"/>
  <c r="BN58" i="1"/>
  <c r="BO58" i="1"/>
  <c r="BP58" i="1"/>
  <c r="BV58" i="1" s="1"/>
  <c r="BX58" i="1"/>
  <c r="BE59" i="1"/>
  <c r="BF59" i="1"/>
  <c r="BG59" i="1"/>
  <c r="BH59" i="1"/>
  <c r="BI59" i="1"/>
  <c r="BJ59" i="1"/>
  <c r="BQ59" i="1" s="1"/>
  <c r="BK59" i="1"/>
  <c r="BL59" i="1"/>
  <c r="BM59" i="1"/>
  <c r="BN59" i="1"/>
  <c r="BO59" i="1"/>
  <c r="BP59" i="1"/>
  <c r="BV59" i="1"/>
  <c r="BX59" i="1"/>
  <c r="BE60" i="1"/>
  <c r="BF60" i="1"/>
  <c r="BG60" i="1"/>
  <c r="BH60" i="1"/>
  <c r="BI60" i="1"/>
  <c r="BJ60" i="1" s="1"/>
  <c r="BQ60" i="1" s="1"/>
  <c r="BK60" i="1"/>
  <c r="BL60" i="1"/>
  <c r="BM60" i="1"/>
  <c r="BN60" i="1"/>
  <c r="BO60" i="1"/>
  <c r="BP60" i="1"/>
  <c r="BV60" i="1"/>
  <c r="BX60" i="1"/>
  <c r="BE61" i="1"/>
  <c r="BF61" i="1"/>
  <c r="BG61" i="1"/>
  <c r="BH61" i="1"/>
  <c r="BJ61" i="1" s="1"/>
  <c r="BQ61" i="1" s="1"/>
  <c r="BI61" i="1"/>
  <c r="BK61" i="1"/>
  <c r="BL61" i="1"/>
  <c r="BM61" i="1"/>
  <c r="BN61" i="1"/>
  <c r="BO61" i="1"/>
  <c r="BP61" i="1"/>
  <c r="BV61" i="1" s="1"/>
  <c r="BX61" i="1"/>
  <c r="BE62" i="1"/>
  <c r="BF62" i="1" s="1"/>
  <c r="BG62" i="1"/>
  <c r="BH62" i="1"/>
  <c r="BI62" i="1"/>
  <c r="BJ62" i="1"/>
  <c r="BQ62" i="1" s="1"/>
  <c r="BK62" i="1"/>
  <c r="BL62" i="1"/>
  <c r="BM62" i="1"/>
  <c r="BN62" i="1"/>
  <c r="BO62" i="1"/>
  <c r="BP62" i="1"/>
  <c r="BV62" i="1" s="1"/>
  <c r="BX62" i="1"/>
  <c r="BE63" i="1"/>
  <c r="BF63" i="1"/>
  <c r="BG63" i="1"/>
  <c r="BH63" i="1"/>
  <c r="BI63" i="1"/>
  <c r="BJ63" i="1" s="1"/>
  <c r="BQ63" i="1" s="1"/>
  <c r="BK63" i="1"/>
  <c r="BL63" i="1"/>
  <c r="BM63" i="1"/>
  <c r="BN63" i="1"/>
  <c r="BO63" i="1"/>
  <c r="BP63" i="1"/>
  <c r="BV63" i="1"/>
  <c r="BX63" i="1"/>
  <c r="BY2" i="1" l="1"/>
  <c r="BT2" i="1"/>
  <c r="BR2" i="1"/>
  <c r="BS2" i="1" s="1"/>
  <c r="BR52" i="1"/>
  <c r="BS52" i="1"/>
  <c r="BT52" i="1"/>
  <c r="BU52" i="1"/>
  <c r="BW52" i="1" s="1"/>
  <c r="BY52" i="1"/>
  <c r="BR40" i="1"/>
  <c r="BS40" i="1"/>
  <c r="BT40" i="1"/>
  <c r="BU40" i="1" s="1"/>
  <c r="BW40" i="1" s="1"/>
  <c r="BY40" i="1"/>
  <c r="BR23" i="1"/>
  <c r="BS23" i="1"/>
  <c r="BT23" i="1"/>
  <c r="BU23" i="1"/>
  <c r="BW23" i="1" s="1"/>
  <c r="BY23" i="1"/>
  <c r="BR4" i="1"/>
  <c r="BS4" i="1" s="1"/>
  <c r="BT4" i="1"/>
  <c r="BY4" i="1"/>
  <c r="BR30" i="1"/>
  <c r="BS30" i="1"/>
  <c r="BT30" i="1"/>
  <c r="BU30" i="1"/>
  <c r="BW30" i="1" s="1"/>
  <c r="BY30" i="1"/>
  <c r="BR58" i="1"/>
  <c r="BS58" i="1"/>
  <c r="BT58" i="1"/>
  <c r="BU58" i="1"/>
  <c r="BW58" i="1" s="1"/>
  <c r="BY58" i="1"/>
  <c r="BR36" i="1"/>
  <c r="BU36" i="1" s="1"/>
  <c r="BW36" i="1" s="1"/>
  <c r="BT36" i="1"/>
  <c r="BY36" i="1"/>
  <c r="BR24" i="1"/>
  <c r="BS24" i="1"/>
  <c r="BT24" i="1"/>
  <c r="BU24" i="1"/>
  <c r="BW24" i="1" s="1"/>
  <c r="BY24" i="1"/>
  <c r="BY63" i="1"/>
  <c r="BR63" i="1"/>
  <c r="BS63" i="1"/>
  <c r="BT63" i="1"/>
  <c r="BU63" i="1"/>
  <c r="BW63" i="1" s="1"/>
  <c r="BY47" i="1"/>
  <c r="BR47" i="1"/>
  <c r="BU47" i="1" s="1"/>
  <c r="BW47" i="1" s="1"/>
  <c r="BT47" i="1"/>
  <c r="BY53" i="1"/>
  <c r="BR53" i="1"/>
  <c r="BS53" i="1"/>
  <c r="BT53" i="1"/>
  <c r="BU53" i="1"/>
  <c r="BW53" i="1" s="1"/>
  <c r="BR42" i="1"/>
  <c r="BS42" i="1" s="1"/>
  <c r="BT42" i="1"/>
  <c r="BU42" i="1"/>
  <c r="BW42" i="1" s="1"/>
  <c r="BY42" i="1"/>
  <c r="BY31" i="1"/>
  <c r="BR31" i="1"/>
  <c r="BU31" i="1" s="1"/>
  <c r="BW31" i="1" s="1"/>
  <c r="BS31" i="1"/>
  <c r="BT31" i="1"/>
  <c r="BR20" i="1"/>
  <c r="BS20" i="1"/>
  <c r="BT20" i="1"/>
  <c r="BU20" i="1"/>
  <c r="BW20" i="1" s="1"/>
  <c r="BY20" i="1"/>
  <c r="BR14" i="1"/>
  <c r="BS14" i="1"/>
  <c r="BT14" i="1"/>
  <c r="BU14" i="1"/>
  <c r="BW14" i="1" s="1"/>
  <c r="BY14" i="1"/>
  <c r="BY9" i="1"/>
  <c r="BR9" i="1"/>
  <c r="BU9" i="1" s="1"/>
  <c r="BW9" i="1" s="1"/>
  <c r="BS9" i="1"/>
  <c r="BT9" i="1"/>
  <c r="BR59" i="1"/>
  <c r="BS59" i="1"/>
  <c r="BT59" i="1"/>
  <c r="BU59" i="1"/>
  <c r="BW59" i="1" s="1"/>
  <c r="BY59" i="1"/>
  <c r="BR10" i="1"/>
  <c r="BS10" i="1"/>
  <c r="BT10" i="1"/>
  <c r="BU10" i="1"/>
  <c r="BW10" i="1" s="1"/>
  <c r="BY10" i="1"/>
  <c r="BR5" i="1"/>
  <c r="BS5" i="1"/>
  <c r="BT5" i="1"/>
  <c r="BU5" i="1"/>
  <c r="BW5" i="1" s="1"/>
  <c r="BY5" i="1"/>
  <c r="BT48" i="1"/>
  <c r="BY48" i="1"/>
  <c r="BR48" i="1"/>
  <c r="BU48" i="1" s="1"/>
  <c r="BW48" i="1" s="1"/>
  <c r="BY37" i="1"/>
  <c r="BR37" i="1"/>
  <c r="BS37" i="1"/>
  <c r="BT37" i="1"/>
  <c r="BU37" i="1"/>
  <c r="BW37" i="1" s="1"/>
  <c r="BR26" i="1"/>
  <c r="BS26" i="1"/>
  <c r="BT26" i="1"/>
  <c r="BU26" i="1"/>
  <c r="BW26" i="1" s="1"/>
  <c r="BY26" i="1"/>
  <c r="BY15" i="1"/>
  <c r="BR15" i="1"/>
  <c r="BS15" i="1"/>
  <c r="BT15" i="1"/>
  <c r="BU15" i="1"/>
  <c r="BW15" i="1" s="1"/>
  <c r="BR43" i="1"/>
  <c r="BS43" i="1"/>
  <c r="BT43" i="1"/>
  <c r="BU43" i="1"/>
  <c r="BW43" i="1" s="1"/>
  <c r="BY43" i="1"/>
  <c r="BY60" i="1"/>
  <c r="BR60" i="1"/>
  <c r="BS60" i="1"/>
  <c r="BT60" i="1"/>
  <c r="BU60" i="1"/>
  <c r="BW60" i="1" s="1"/>
  <c r="BT32" i="1"/>
  <c r="BY32" i="1"/>
  <c r="BR32" i="1"/>
  <c r="BU32" i="1" s="1"/>
  <c r="BW32" i="1" s="1"/>
  <c r="BS32" i="1"/>
  <c r="BY21" i="1"/>
  <c r="BR21" i="1"/>
  <c r="BS21" i="1"/>
  <c r="BT21" i="1"/>
  <c r="BU21" i="1"/>
  <c r="BW21" i="1" s="1"/>
  <c r="BR11" i="1"/>
  <c r="BS11" i="1"/>
  <c r="BT11" i="1"/>
  <c r="BU11" i="1"/>
  <c r="BW11" i="1" s="1"/>
  <c r="BY11" i="1"/>
  <c r="BR27" i="1"/>
  <c r="BS27" i="1" s="1"/>
  <c r="BT27" i="1"/>
  <c r="BY27" i="1"/>
  <c r="BR49" i="1"/>
  <c r="BS49" i="1"/>
  <c r="BT49" i="1"/>
  <c r="BU49" i="1"/>
  <c r="BW49" i="1" s="1"/>
  <c r="BY49" i="1"/>
  <c r="BY44" i="1"/>
  <c r="BR44" i="1"/>
  <c r="BS44" i="1"/>
  <c r="BT44" i="1"/>
  <c r="BU44" i="1"/>
  <c r="BW44" i="1" s="1"/>
  <c r="BT16" i="1"/>
  <c r="BU16" i="1" s="1"/>
  <c r="BW16" i="1" s="1"/>
  <c r="BY16" i="1"/>
  <c r="BR16" i="1"/>
  <c r="BS16" i="1"/>
  <c r="BR7" i="1"/>
  <c r="BS7" i="1"/>
  <c r="BT7" i="1"/>
  <c r="BU7" i="1"/>
  <c r="BW7" i="1" s="1"/>
  <c r="BY7" i="1"/>
  <c r="BW35" i="1"/>
  <c r="BY12" i="1"/>
  <c r="BR12" i="1"/>
  <c r="BS12" i="1"/>
  <c r="BT12" i="1"/>
  <c r="BU12" i="1"/>
  <c r="BW12" i="1" s="1"/>
  <c r="BS61" i="1"/>
  <c r="BT61" i="1"/>
  <c r="BY61" i="1"/>
  <c r="BR61" i="1"/>
  <c r="BU61" i="1" s="1"/>
  <c r="BW61" i="1" s="1"/>
  <c r="BR55" i="1"/>
  <c r="BS55" i="1"/>
  <c r="BT55" i="1"/>
  <c r="BU55" i="1"/>
  <c r="BW55" i="1" s="1"/>
  <c r="BY55" i="1"/>
  <c r="BR33" i="1"/>
  <c r="BS33" i="1"/>
  <c r="BT33" i="1"/>
  <c r="BU33" i="1"/>
  <c r="BW33" i="1" s="1"/>
  <c r="BY33" i="1"/>
  <c r="BY28" i="1"/>
  <c r="BR28" i="1"/>
  <c r="BU28" i="1" s="1"/>
  <c r="BW28" i="1" s="1"/>
  <c r="BT28" i="1"/>
  <c r="BY3" i="1"/>
  <c r="BS3" i="1"/>
  <c r="BR3" i="1"/>
  <c r="BU3" i="1" s="1"/>
  <c r="BW3" i="1" s="1"/>
  <c r="BT3" i="1"/>
  <c r="BR50" i="1"/>
  <c r="BS50" i="1" s="1"/>
  <c r="BT50" i="1"/>
  <c r="BU50" i="1" s="1"/>
  <c r="BW50" i="1" s="1"/>
  <c r="BY50" i="1"/>
  <c r="BR56" i="1"/>
  <c r="BS56" i="1"/>
  <c r="BT56" i="1"/>
  <c r="BU56" i="1" s="1"/>
  <c r="BW56" i="1" s="1"/>
  <c r="BY56" i="1"/>
  <c r="BR39" i="1"/>
  <c r="BS39" i="1"/>
  <c r="BT39" i="1"/>
  <c r="BU39" i="1"/>
  <c r="BW39" i="1" s="1"/>
  <c r="BY39" i="1"/>
  <c r="BR17" i="1"/>
  <c r="BS17" i="1"/>
  <c r="BT17" i="1"/>
  <c r="BU17" i="1"/>
  <c r="BW17" i="1" s="1"/>
  <c r="BY17" i="1"/>
  <c r="BR8" i="1"/>
  <c r="BS8" i="1"/>
  <c r="BT8" i="1"/>
  <c r="BU8" i="1"/>
  <c r="BW8" i="1" s="1"/>
  <c r="BY8" i="1"/>
  <c r="BR18" i="1"/>
  <c r="BS18" i="1"/>
  <c r="BT18" i="1"/>
  <c r="BU18" i="1"/>
  <c r="BW18" i="1" s="1"/>
  <c r="BY18" i="1"/>
  <c r="BR62" i="1"/>
  <c r="BS62" i="1"/>
  <c r="BT62" i="1"/>
  <c r="BU62" i="1" s="1"/>
  <c r="BW62" i="1" s="1"/>
  <c r="BY62" i="1"/>
  <c r="BR46" i="1"/>
  <c r="BS46" i="1"/>
  <c r="BT46" i="1"/>
  <c r="BU46" i="1"/>
  <c r="BW46" i="1" s="1"/>
  <c r="BY46" i="1"/>
  <c r="BR34" i="1"/>
  <c r="BS34" i="1" s="1"/>
  <c r="BT34" i="1"/>
  <c r="BY34" i="1"/>
  <c r="BT13" i="1"/>
  <c r="BY13" i="1"/>
  <c r="BR13" i="1"/>
  <c r="BS13" i="1" s="1"/>
  <c r="BT51" i="1"/>
  <c r="BU51" i="1" s="1"/>
  <c r="BW51" i="1" s="1"/>
  <c r="BR45" i="1"/>
  <c r="BS45" i="1" s="1"/>
  <c r="BR29" i="1"/>
  <c r="BU29" i="1" s="1"/>
  <c r="BW29" i="1" s="1"/>
  <c r="BR57" i="1"/>
  <c r="BQ54" i="1"/>
  <c r="BR41" i="1"/>
  <c r="BQ38" i="1"/>
  <c r="BR25" i="1"/>
  <c r="BQ22" i="1"/>
  <c r="BQ6" i="1"/>
  <c r="BY45" i="1"/>
  <c r="BY29" i="1"/>
  <c r="BY51" i="1"/>
  <c r="BY35" i="1"/>
  <c r="BY19" i="1"/>
  <c r="BT45" i="1"/>
  <c r="BT29" i="1"/>
  <c r="BU2" i="1" l="1"/>
  <c r="BW2" i="1" s="1"/>
  <c r="BY38" i="1"/>
  <c r="BT38" i="1"/>
  <c r="BR38" i="1"/>
  <c r="BS38" i="1"/>
  <c r="BU38" i="1"/>
  <c r="BW38" i="1" s="1"/>
  <c r="BS28" i="1"/>
  <c r="BS47" i="1"/>
  <c r="BS36" i="1"/>
  <c r="BS41" i="1"/>
  <c r="BU41" i="1"/>
  <c r="BW41" i="1" s="1"/>
  <c r="BU57" i="1"/>
  <c r="BW57" i="1" s="1"/>
  <c r="BS57" i="1"/>
  <c r="BS29" i="1"/>
  <c r="BU45" i="1"/>
  <c r="BW45" i="1" s="1"/>
  <c r="BY54" i="1"/>
  <c r="BT54" i="1"/>
  <c r="BU54" i="1" s="1"/>
  <c r="BW54" i="1" s="1"/>
  <c r="BR54" i="1"/>
  <c r="BS54" i="1"/>
  <c r="BU13" i="1"/>
  <c r="BW13" i="1" s="1"/>
  <c r="BS48" i="1"/>
  <c r="BY6" i="1"/>
  <c r="BT6" i="1"/>
  <c r="BR6" i="1"/>
  <c r="BS6" i="1"/>
  <c r="BU6" i="1"/>
  <c r="BW6" i="1" s="1"/>
  <c r="BU34" i="1"/>
  <c r="BW34" i="1" s="1"/>
  <c r="BU27" i="1"/>
  <c r="BW27" i="1" s="1"/>
  <c r="BU4" i="1"/>
  <c r="BW4" i="1" s="1"/>
  <c r="BY22" i="1"/>
  <c r="BR22" i="1"/>
  <c r="BU22" i="1" s="1"/>
  <c r="BW22" i="1" s="1"/>
  <c r="BS22" i="1"/>
  <c r="BT22" i="1"/>
  <c r="BU25" i="1"/>
  <c r="BW25" i="1" s="1"/>
  <c r="BS25" i="1"/>
</calcChain>
</file>

<file path=xl/sharedStrings.xml><?xml version="1.0" encoding="utf-8"?>
<sst xmlns="http://schemas.openxmlformats.org/spreadsheetml/2006/main" count="1235" uniqueCount="555">
  <si>
    <t xml:space="preserve">CONSE </t>
  </si>
  <si>
    <t>F/V</t>
  </si>
  <si>
    <t>Aseguradora</t>
  </si>
  <si>
    <t>SUBCUENTA</t>
  </si>
  <si>
    <t>Estatus del servicio</t>
  </si>
  <si>
    <t>Tipo de servicio</t>
  </si>
  <si>
    <t>Tipo de viaje</t>
  </si>
  <si>
    <t>EXPEDIENTE</t>
  </si>
  <si>
    <t>Siniestro</t>
  </si>
  <si>
    <t>Folio 1</t>
  </si>
  <si>
    <t>Factura 1</t>
  </si>
  <si>
    <t>Monto 1</t>
  </si>
  <si>
    <t>Folio 2</t>
  </si>
  <si>
    <t>Factura 2</t>
  </si>
  <si>
    <t>Monto 2</t>
  </si>
  <si>
    <t xml:space="preserve">Folio 3 </t>
  </si>
  <si>
    <t>Factura 3</t>
  </si>
  <si>
    <t>Monto 3</t>
  </si>
  <si>
    <t>Folio 4</t>
  </si>
  <si>
    <t>Factura 4</t>
  </si>
  <si>
    <t>Monto 4</t>
  </si>
  <si>
    <t>Folio 5</t>
  </si>
  <si>
    <t>Factura 5</t>
  </si>
  <si>
    <t>Monto 5</t>
  </si>
  <si>
    <t>Vehículo</t>
  </si>
  <si>
    <t>Modelo</t>
  </si>
  <si>
    <t>Color</t>
  </si>
  <si>
    <t>Placas</t>
  </si>
  <si>
    <t>Origen</t>
  </si>
  <si>
    <t>Destino</t>
  </si>
  <si>
    <t>Nombre del solicitante</t>
  </si>
  <si>
    <t>Afiliado</t>
  </si>
  <si>
    <t>Operador</t>
  </si>
  <si>
    <t>Grúa</t>
  </si>
  <si>
    <t>Cabina</t>
  </si>
  <si>
    <t>Vin</t>
  </si>
  <si>
    <t>Tipo de pago</t>
  </si>
  <si>
    <t>Excedente</t>
  </si>
  <si>
    <t>Solicitud</t>
  </si>
  <si>
    <t>Contacto</t>
  </si>
  <si>
    <t>Termino</t>
  </si>
  <si>
    <t>Tiempo de llegada</t>
  </si>
  <si>
    <t>Bitácora</t>
  </si>
  <si>
    <t>KM cotizados</t>
  </si>
  <si>
    <t>Costo por KM</t>
  </si>
  <si>
    <t>Salvamento</t>
  </si>
  <si>
    <t>Banderazo</t>
  </si>
  <si>
    <t>Resguardo</t>
  </si>
  <si>
    <t>Casetas</t>
  </si>
  <si>
    <t>Acondicionamiento</t>
  </si>
  <si>
    <t>Maniobras</t>
  </si>
  <si>
    <t>Arrastre</t>
  </si>
  <si>
    <t>Otros</t>
  </si>
  <si>
    <t>Sub Total</t>
  </si>
  <si>
    <t>ASISTENCIA</t>
  </si>
  <si>
    <t>FECHA</t>
  </si>
  <si>
    <t>CONTACTO</t>
  </si>
  <si>
    <t>Sub total ARRASTRE</t>
  </si>
  <si>
    <t>OTROS</t>
  </si>
  <si>
    <t>IMPORTE AFILIADO</t>
  </si>
  <si>
    <t xml:space="preserve">SUBTOTAL SERVICIO </t>
  </si>
  <si>
    <t>IVA</t>
  </si>
  <si>
    <t>IMPORTE MAS IVA</t>
  </si>
  <si>
    <t>RETEN</t>
  </si>
  <si>
    <t>TOTAL</t>
  </si>
  <si>
    <t>EXCEDENTE REAL</t>
  </si>
  <si>
    <t>VENTA TOTAL</t>
  </si>
  <si>
    <t>COBRADO // FACTURADO</t>
  </si>
  <si>
    <t>DIFERENCIAS</t>
  </si>
  <si>
    <t>MEXICO ASISTENCIA</t>
  </si>
  <si>
    <t>MAPFRE</t>
  </si>
  <si>
    <t>Terminado</t>
  </si>
  <si>
    <t>Zona 1</t>
  </si>
  <si>
    <t>FRONTERA</t>
  </si>
  <si>
    <t>BLANCO</t>
  </si>
  <si>
    <t>MRP200A</t>
  </si>
  <si>
    <t xml:space="preserve">CARRETERA CIUDAD DE MÉXICO- SAN JERÓNIMO XONACAHUACÁN MÉXICO TECÁMAC  </t>
  </si>
  <si>
    <t>Calle Juan de Dios Peza Benito Juárez 3ra Sección México Ecatepec de Morelos 55416</t>
  </si>
  <si>
    <t>WEB</t>
  </si>
  <si>
    <t>ESTIBAN HERNANDEZ ZERON</t>
  </si>
  <si>
    <t>Manuel Alejandro Garcia Rodriguez</t>
  </si>
  <si>
    <t>PORTOS</t>
  </si>
  <si>
    <t>Sandra Paola Meneses Castillo</t>
  </si>
  <si>
    <t>.</t>
  </si>
  <si>
    <t>Por definir</t>
  </si>
  <si>
    <t>18:42:27</t>
  </si>
  <si>
    <t>01/10/2025 20:00:56</t>
  </si>
  <si>
    <t>22:13:51</t>
  </si>
  <si>
    <t/>
  </si>
  <si>
    <t>GNP SIN</t>
  </si>
  <si>
    <t>VENTO</t>
  </si>
  <si>
    <t>NEGRO</t>
  </si>
  <si>
    <t>97BZZ2</t>
  </si>
  <si>
    <t>AVENIDA PROFESOR CARLOS HANK  UNIDAD HAB LADERAS DEL PEÑÓN MÉXICO ECATEPEC DE MORELOS 55135</t>
  </si>
  <si>
    <t>CAMINO DEL ESFUERZO A CAMPESTRE ARAGÓN CIUDAD DE MÉXICO GUSTAVO A MADERO 07530</t>
  </si>
  <si>
    <t>PORTAL</t>
  </si>
  <si>
    <t>OSCAR OMAR RODRIGUEZ VELAZQUEZ</t>
  </si>
  <si>
    <t>Crhristian Ezequiel Rocha Guarneros</t>
  </si>
  <si>
    <t>ARGENO</t>
  </si>
  <si>
    <t>Jorge Alberto De La Vega Laguna</t>
  </si>
  <si>
    <t xml:space="preserve"> </t>
  </si>
  <si>
    <t>07:03:43</t>
  </si>
  <si>
    <t>02/10/2025 08:05:58</t>
  </si>
  <si>
    <t>09:13:34</t>
  </si>
  <si>
    <t>SUBURBAN</t>
  </si>
  <si>
    <t>PZG95</t>
  </si>
  <si>
    <t xml:space="preserve">CARRETERA CIUDAD DE MÉXICO-   MÉXICO TEMASCALAPA  </t>
  </si>
  <si>
    <t>Asistencia Pública Federal Ciudad de México Venustiano Carranza 15700</t>
  </si>
  <si>
    <t>FABIAN SEGURA LOPEZ</t>
  </si>
  <si>
    <t>Miguel Angel Flores  Flores</t>
  </si>
  <si>
    <t>PINKY</t>
  </si>
  <si>
    <t>Javier Alejandro Jimenez Avila</t>
  </si>
  <si>
    <t>jajaj</t>
  </si>
  <si>
    <t>23:01:08</t>
  </si>
  <si>
    <t>02/10/2025 23:30:56</t>
  </si>
  <si>
    <t>02:16:03</t>
  </si>
  <si>
    <t>DUPLICADO</t>
  </si>
  <si>
    <t xml:space="preserve">Mauricio Miranda Cordova </t>
  </si>
  <si>
    <t>03/10/2025 00:07:01</t>
  </si>
  <si>
    <t>POINTER</t>
  </si>
  <si>
    <t>ROJO</t>
  </si>
  <si>
    <t>NJS867A</t>
  </si>
  <si>
    <t>CALLE URUGUAY FRACC JARDINES DE CERRO GORDO MÉXICO ECATEPEC DE MORELOS 55100</t>
  </si>
  <si>
    <t xml:space="preserve">  Fraccionamiento Rinconada de Aragón México Ecatepec de Morelos 55140</t>
  </si>
  <si>
    <t>GUIRMINA MARTINEZ</t>
  </si>
  <si>
    <t>SAUL PACHECO</t>
  </si>
  <si>
    <t>Marco Antonio Sanchez Martinez</t>
  </si>
  <si>
    <t>POCILLO</t>
  </si>
  <si>
    <t>19:11:34</t>
  </si>
  <si>
    <t>03/10/2025 19:47:38</t>
  </si>
  <si>
    <t>20:47:26</t>
  </si>
  <si>
    <t>SCENIC</t>
  </si>
  <si>
    <t>GRIS</t>
  </si>
  <si>
    <t>S/P</t>
  </si>
  <si>
    <t>CARRETERA CIUDAD DE MÉXICO- CONJUNTO HAB LOS HÉROES  MÉXICO ECATEPEC DE MORELOS 55763</t>
  </si>
  <si>
    <t xml:space="preserve">  Barrio Tepojaco Hidalgo Tizayuca  </t>
  </si>
  <si>
    <t>EDGAR TAPIA ZUÑIGA</t>
  </si>
  <si>
    <t xml:space="preserve">Oscar Uriel Martinez Monroy </t>
  </si>
  <si>
    <t>00:26:02</t>
  </si>
  <si>
    <t>04/10/2025 01:14:49</t>
  </si>
  <si>
    <t>02:11:54</t>
  </si>
  <si>
    <t>MAPRE</t>
  </si>
  <si>
    <t>Concluido</t>
  </si>
  <si>
    <t>Carretero</t>
  </si>
  <si>
    <t>GOL</t>
  </si>
  <si>
    <t>PEZ1393</t>
  </si>
  <si>
    <t>JXV5+FC, 55767 Ojo de Agua, Méx., México 57 KM + 400 CASETAS DIEGO RICO 19.643709, -99.041324</t>
  </si>
  <si>
    <t>Av Canal de Apatlaco 426, Campamento 2 de Octubre, Iztacalco, 08930 Ciudad de México, CDMX, México 19.382230, -99.116241</t>
  </si>
  <si>
    <t>JAQUELINE GUILLEN 5581570918</t>
  </si>
  <si>
    <t>Lizbeth Andrea Guzman Castillo</t>
  </si>
  <si>
    <t>04/10/2025 12:55</t>
  </si>
  <si>
    <t>04/10/2025 13:45:49</t>
  </si>
  <si>
    <t>04/10/2025 15:23:55</t>
  </si>
  <si>
    <t>KM 20348104  CASETAS 20348181</t>
  </si>
  <si>
    <t>PROSTAR</t>
  </si>
  <si>
    <t>666FD2</t>
  </si>
  <si>
    <t>Avenida Jesús Reyes Heroles 545, Tabla Honda, 54130 Tlalnepantla, Méx., México Arrastre.    20348847 Casetas.    20348871 Maniobras 20348872 19.551723, -99.184582</t>
  </si>
  <si>
    <t>Calle 5 14, El Infiernillo, 54879 Cuautitlán, Méx., México 19.654447, -99.173369</t>
  </si>
  <si>
    <t>manuel mota</t>
  </si>
  <si>
    <t>JOSE ALFREDO AYALA OSEGUERA</t>
  </si>
  <si>
    <t>TITAN</t>
  </si>
  <si>
    <t>05/10/2025 01:31</t>
  </si>
  <si>
    <t>05/10/2025 02:53:30</t>
  </si>
  <si>
    <t>05/10/2025 04:30:33</t>
  </si>
  <si>
    <t>Arrastre.    20348847 Casetas.    20348871 Maniobras 20348872</t>
  </si>
  <si>
    <t>Servicio Muerto</t>
  </si>
  <si>
    <t>BEAT</t>
  </si>
  <si>
    <t>PLATA</t>
  </si>
  <si>
    <t>Av. Gobernador Lic. Ignacio Pichardo Pagaza 70, Fuentes de Aragón, 55210 Ecatepec de Morelos, Méx., México NP 19.513643, -99.031734</t>
  </si>
  <si>
    <t>Av. Gobernador Lic. Ignacio Pichardo Pagaza 70, Fuentes de Aragón, 55210 Ecatepec de Morelos, Méx., México 19.513643, -99.031734</t>
  </si>
  <si>
    <t>CONCEPCION BANOS PINO</t>
  </si>
  <si>
    <t>MARCOS ANTONIO RIVERO GUTIERREZ</t>
  </si>
  <si>
    <t>MATRIX</t>
  </si>
  <si>
    <t>05/10/2025 20:14</t>
  </si>
  <si>
    <t xml:space="preserve">NP </t>
  </si>
  <si>
    <t>mapfre</t>
  </si>
  <si>
    <t>ARENA</t>
  </si>
  <si>
    <t>Z70AKT</t>
  </si>
  <si>
    <t>Av. Carlos Hank González Mz 11 Lt 34, Industrias Tulpetlac, 55100 Ecatepec de Morelos, Méx., México 20349736 19.555061, -99.019189</t>
  </si>
  <si>
    <t>Ote. 69 2902, Asturias, Cuauhtémoc, 06890 Ciudad de México, CDMX, México 19.406405, -99.129854</t>
  </si>
  <si>
    <t>NOHEMI BEDOLLA GUERRERO</t>
  </si>
  <si>
    <t>05/10/2025 23:39</t>
  </si>
  <si>
    <t>06/10/2025 00:01:15</t>
  </si>
  <si>
    <t>06/10/2025 01:07:51</t>
  </si>
  <si>
    <t>DUSTER</t>
  </si>
  <si>
    <t>S56BLP</t>
  </si>
  <si>
    <t>C. Bosques de Nigeria 243, 55764 Ojo de Agua, Méx., México 20349761 - ECO CASETAS 20349784 19.626249, -99.026006</t>
  </si>
  <si>
    <t>C. Aviación Militar 15, Industrial Puerto Aéreo, Venustiano Carranza, 15710 Ciudad de México, CDMX, México 19.423451, -99.094153</t>
  </si>
  <si>
    <t>ALMA NERY MARROQUIN RINCON</t>
  </si>
  <si>
    <t>RICARDO MALDONADO GARCIA</t>
  </si>
  <si>
    <t>TOSTADA</t>
  </si>
  <si>
    <t>06/10/2025 01:01</t>
  </si>
  <si>
    <t>06/10/2025 01:55:14</t>
  </si>
  <si>
    <t>06/10/2025 03:05:16</t>
  </si>
  <si>
    <t>20349761 - ECO CASETAS 20349784</t>
  </si>
  <si>
    <t>LEON</t>
  </si>
  <si>
    <t>NXW1635</t>
  </si>
  <si>
    <t>Av. 510 28, Ex Ejido San Juan de Aragón, Gustavo A. Madero, 07919 Ciudad de México, CDMX, México 20349851 19.465416, -99.075549</t>
  </si>
  <si>
    <t>Av. 611 71, San Juan de Aragón III Secc, Gustavo A. Madero, 07970 Ciudad de México, CDMX, México 19.450325, -99.067782</t>
  </si>
  <si>
    <t>CARLOS EDUARDO OLIVER RENDON</t>
  </si>
  <si>
    <t>06/10/2025 01:48</t>
  </si>
  <si>
    <t>06/10/2025 02:47:05</t>
  </si>
  <si>
    <t>06/10/2025 03:24:42</t>
  </si>
  <si>
    <t>MIRAGE</t>
  </si>
  <si>
    <t>PAX7718</t>
  </si>
  <si>
    <t>Juan Diego 121, 54850 Cuautitlán, Méx., México ECO CUBRE TODO 20352581 19.676058, -99.155436</t>
  </si>
  <si>
    <t>54720, Parques, 54720 Cuautitlán Izcalli, Méx., México 19.667283, -99.214158</t>
  </si>
  <si>
    <t>luis ayala</t>
  </si>
  <si>
    <t>BRAYAMM NOE ESCORZA ESQUIVEL</t>
  </si>
  <si>
    <t>PETACA</t>
  </si>
  <si>
    <t>07/10/2025 00:19</t>
  </si>
  <si>
    <t>07/10/2025 00:57:43</t>
  </si>
  <si>
    <t>07/10/2025 02:06:34</t>
  </si>
  <si>
    <t>ECO CUBRE TODO 20352581</t>
  </si>
  <si>
    <t>IBIZA</t>
  </si>
  <si>
    <t>F26BRC</t>
  </si>
  <si>
    <t>Av. Valle del Volga 272, Valle de Aragon 1ra Secc, 57100 Cdad. Nezahualcóyotl, Méx., México ECO ARRASTRE 20352602 19.492343, -99.057458</t>
  </si>
  <si>
    <t>Miguel Alemán Valdés 20, Emiliano Zapata 1a Secc, 55200 Ecatepec de Morelos, Méx., México 19.520928, -99.034759</t>
  </si>
  <si>
    <t xml:space="preserve"> MIGUEL LOZANO</t>
  </si>
  <si>
    <t>07/10/2025 02:17</t>
  </si>
  <si>
    <t>07/10/2025 02:55:54</t>
  </si>
  <si>
    <t>07/10/2025 03:50:54</t>
  </si>
  <si>
    <t>ECO ARRASTRE 20352602</t>
  </si>
  <si>
    <t>UP</t>
  </si>
  <si>
    <t>NKA552B</t>
  </si>
  <si>
    <t>C. Guanajuato 10, Colinas de San Jose, 54190 Tlalnepantla, Méx., México ECO ARRASTRE 20352604 ECO CASETAS 20352743 19.524693, -99.088769</t>
  </si>
  <si>
    <t>Calle 3 16-A, Alce Blanco, 53370 Naucalpan de Juárez, Méx., México 19.470730, -99.219092</t>
  </si>
  <si>
    <t>LUCERO MENDOZA 5651029735</t>
  </si>
  <si>
    <t>Roberto German Montero Navarrete</t>
  </si>
  <si>
    <t>CHACHITA</t>
  </si>
  <si>
    <t>07/10/2025 02:47</t>
  </si>
  <si>
    <t>07/10/2025 04:11:13</t>
  </si>
  <si>
    <t>07/10/2025 05:22:36</t>
  </si>
  <si>
    <t>ECO ARRASTRE 20352604 ECO CASETAS 20352743</t>
  </si>
  <si>
    <t>NP</t>
  </si>
  <si>
    <t>BYD</t>
  </si>
  <si>
    <t>40G235</t>
  </si>
  <si>
    <t>Guadalupe Victoria 29, Mexico Insurgentes, 55266 Ecatepec de Morelos, Méx., México ECO ARRASTRE 20352750 ECO CASETAS 20352766 19.502455, -99.026645</t>
  </si>
  <si>
    <t>Av Tezozomoc 405, Petrolera, Azcapotzalco, 02480 Ciudad de México, CDMX, México 19.484030, -99.196654</t>
  </si>
  <si>
    <t>KARINA HERRERA</t>
  </si>
  <si>
    <t>IGNACIO ANTONIO OSORIO SAAVEDRA</t>
  </si>
  <si>
    <t>SCATTO</t>
  </si>
  <si>
    <t>07/10/2025 05:53</t>
  </si>
  <si>
    <t>07/10/2025 07:50:08</t>
  </si>
  <si>
    <t>07/10/2025 09:46:47</t>
  </si>
  <si>
    <t>ECO ARRASTRE 20352750 ECO CASETAS 20352766</t>
  </si>
  <si>
    <t>MAPFRE AUTO</t>
  </si>
  <si>
    <t>VERSA</t>
  </si>
  <si>
    <t>19.531874762369362, -99.07101127195531 SANTA CLARA ECATEPECAUT  MARIA SAUCEDO   ECON 28 KM 20353065// 280  CASETAS   ECON  20353110//  400  DE UNA LLANTA QUE NO GIRA ECON 20353118 19.531875, -99.071011</t>
  </si>
  <si>
    <t>Herradura 45, Ojo de Agua, 55770 Ojo de Agua, Méx., México 19.672626, -99.024074</t>
  </si>
  <si>
    <t>ILSE ABIGAIL SOLIS 0RTIZ</t>
  </si>
  <si>
    <t>ELISA BERNABE ROSAS</t>
  </si>
  <si>
    <t>07/10/2025 10:34</t>
  </si>
  <si>
    <t xml:space="preserve"> MAPFRE AUTO</t>
  </si>
  <si>
    <t>AVANZA</t>
  </si>
  <si>
    <t>Bosques de Hawái, Primera Seccion de Ejidos de Tequisistlan, 56024 Ejido de Tequisistlán Primero, Méx., México NP 19.598909, -98.963551</t>
  </si>
  <si>
    <t>C. Bosque de los Arces 34, Los Heroes Tecamac, 55764 Ciudad de México, Méx., México 19.632077, -99.037049</t>
  </si>
  <si>
    <t>KARINA ALONSO CARO</t>
  </si>
  <si>
    <t xml:space="preserve">Luis Vicente Rivera Vazquez </t>
  </si>
  <si>
    <t>ESPARTACO</t>
  </si>
  <si>
    <t>08/10/2025 08:09</t>
  </si>
  <si>
    <t>08/10/2025 10:42:32</t>
  </si>
  <si>
    <t>MCT881B</t>
  </si>
  <si>
    <t>Otumba -Tizayuca, 55955 Axapusco, Méx., México ECON  20357325 96 KM Y 400 CASETAS  ECON 20357433 19.760334, -98.759745</t>
  </si>
  <si>
    <t>Ejidos de San Andres, 55029 Ecatepec de Morelos, Méx. 19.625399, -99.052271</t>
  </si>
  <si>
    <t>GUSTAVO ALBERTO AGUIRRE ESTRADA</t>
  </si>
  <si>
    <t xml:space="preserve">Felipe Vite Cervantes </t>
  </si>
  <si>
    <t>PORTHOS</t>
  </si>
  <si>
    <t>08/10/2025 17:36</t>
  </si>
  <si>
    <t>08/10/2025 19:11:39</t>
  </si>
  <si>
    <t>08/10/2025 20:11:41</t>
  </si>
  <si>
    <t>AUT JONATHAN CORONA</t>
  </si>
  <si>
    <t xml:space="preserve">mapfre  </t>
  </si>
  <si>
    <t>Arrastre Grua AV - Tipo A</t>
  </si>
  <si>
    <t>PTD7540</t>
  </si>
  <si>
    <t>Av 503 103, San Juan de Aragón I Secc, Gustavo A. Madero, 07969 Ciudad de México, CDMX, México</t>
  </si>
  <si>
    <t>Casas Alemán, 07580 Ciudad de México, CDMX</t>
  </si>
  <si>
    <t xml:space="preserve">miguel angel  valencia </t>
  </si>
  <si>
    <t xml:space="preserve">Antony Cristian Gomez Campos </t>
  </si>
  <si>
    <t>JAVIER ALEJANDRO JIMENEZ AVILA</t>
  </si>
  <si>
    <t>🔴 10/10/2025 09:18 - ELISA BERNABE ROSAS: Se realizó el registro de tiempo de arribo | 🔴 10/10/2025 09:18 - ELISA BERNABE ROSAS: Se realizó el registro de tiempo de arribo | 🔴 10/10/2025 09:19 - ELISA BERNABE ROSAS: Se realizó el registro de tiempo de contacto | 🔴 10/10/2025 09:42 - Antony Cristian Gomez Campos: Registró tiempo de término</t>
  </si>
  <si>
    <t>MAPFRE SERVICIOS REGULARES</t>
  </si>
  <si>
    <t>AVEO</t>
  </si>
  <si>
    <t>BEIGE</t>
  </si>
  <si>
    <t>LZN648A</t>
  </si>
  <si>
    <t>C. de Allende 98, Sta Maria, 55606 Zumpango de Ocampo, Méx., México</t>
  </si>
  <si>
    <t>Vía Morelos 161, Nuevo Laredo, 55080 Ecatepec de Morelos, Méx.</t>
  </si>
  <si>
    <t>ERNESTO ORTEGA VASQUEZ</t>
  </si>
  <si>
    <t>🔴 10/10/2025 11:07 - ELISA BERNABE ROSAS: ECON  20361162 65 KM + 1000 ENTRAR A ZUMPANGO //  ECON 700 CASETAS  ECON  20361305 | 🔴 10/10/2025 11:08 - ELISA BERNABE ROSAS: Realizó modificación de costo de arrastre incrementando $892.50 (de $1,615.00 a $2,507.50) | 🔴 10/10/2025 11:08 - ELISA BERNABE ROSAS: Realizó modificación de servicios adicionales incrementando $1,700.00 (de $2,507.50 a $4,207.50) - Rubros: Caseta Cubierta: $0.00 → $700.00, Maniobras: $0.00 → $1,000.00 | 🔴 10/10/2025 11:54 - ELISA BERNABE ROSAS: Se realizó el registro de tiempo de arribo | 🔴 10/10/2025 11:54 - ELISA BERNABE ROSAS: Se realizó el registro de tiempo de contacto | 🔴 10/10/2025 13:15 - MIGUEL ANGEL FLORES FLORES: Registró tiempo de término</t>
  </si>
  <si>
    <t>AZUL</t>
  </si>
  <si>
    <t>MDC326C</t>
  </si>
  <si>
    <t>C. 50 35, Villa de Gpe Xal, 55339 Ecatepec de Morelos, Méx., México</t>
  </si>
  <si>
    <t>Herradura 19, Ojo de Agua, Villas II, 55770 Ojo de Agua, Méx., México</t>
  </si>
  <si>
    <t>ILSE ABIGAIL SOLIS</t>
  </si>
  <si>
    <t>🔴 10/10/2025 14:38 - ELISA BERNABE ROSAS: 20361810  ECON 30KM //  ECON  20362007   280 CASETAS //  ECON 20362019  800 MANIOBRAS ENTRA POR EL Y SIN 1 LLANTA  AUT BERENICE RAMIREZ | 🔴 10/10/2025 14:38 - ELISA BERNABE ROSAS: Realizó modificación de costo de arrastre incrementando $127.50 (de $1,487.50 a $1,615.00) | 🔴 10/10/2025 14:39 - ELISA BERNABE ROSAS: Realizó modificación de servicios adicionales incrementando $1,080.00 (de $1,615.00 a $2,695.00) - Rubros: Caseta Cubierta: $0.00 → $280.00, Maniobras: $0.00 → $800.00 | 🔴 10/10/2025 15:27 - ELISA BERNABE ROSAS: Se realizó el registro de tiempo de arribo | 🔴 10/10/2025 15:27 - ELISA BERNABE ROSAS: Se realizó el registro de tiempo de contacto | 🔴 10/10/2025 17:02 - Antony Cristian Gomez Campos: Registró tiempo de término</t>
  </si>
  <si>
    <t>Local</t>
  </si>
  <si>
    <t>PBU494B</t>
  </si>
  <si>
    <t>C. Salvador Arciniega Linares 240, La Purisima Tulpetlac, 55405 Ecatepec de Morelos, Méx., México</t>
  </si>
  <si>
    <t>Av 3 de Mayo 7, El Charco, 55404 Ecatepec de Morelos, Méx., México</t>
  </si>
  <si>
    <t>RAFAEL MARTINEZ</t>
  </si>
  <si>
    <t>🔴 10/10/2025 23:53 - Jorge Alberto De La Vega Laguna: Reasignación de servicio: DE [Sin asignar] HACIA [Sin asignar] | 🔴 11/10/2025 00:09 - Jorge Alberto De La Vega Laguna: Se realizó el registro de tiempo de arribo | 🔴 11/10/2025 00:09 - Jorge Alberto De La Vega Laguna: Se realizó el registro de tiempo de contacto | 🔴 11/10/2025 00:31 - MIGUEL ANGEL FLORES FLORES: Registró tiempo de término</t>
  </si>
  <si>
    <t>MAZDA 3</t>
  </si>
  <si>
    <t>NAA360B</t>
  </si>
  <si>
    <t>Prol. Lázaro Cárdenas 113, Llano de los Baez, 55055 Ecatepec de Morelos, Méx., México</t>
  </si>
  <si>
    <t>Alce Blanco, Naucalpan de Juárez, Méx.</t>
  </si>
  <si>
    <t xml:space="preserve">MARTINEZ JIMENEZ MAURICIO </t>
  </si>
  <si>
    <t>Bryan Yahir Patiño Ruiz</t>
  </si>
  <si>
    <t xml:space="preserve">🔴 11/10/2025 14:28 - Sandra Paola Meneses Castillo: Realizó modificación de costo de arrastre incrementando $76.50 (de $2,927.81 a $3,004.31) | 🔴 11/10/2025 14:31 - Sandra Paola Meneses Castillo: 125278680 / eco casetas: 20363859 440 PESOS   / eco maniobras:20363863 $500 / asigna: adria cortes  | 🔴 11/10/2025 14:50 - Sandra Paola Meneses Castillo: Se realizó el registro de tiempo de arribo | 🔴 11/10/2025 14:50 - Sandra Paola Meneses Castillo: Se realizó el registro de tiempo de contacto | 🔴 11/10/2025 17:35 - Brayan Yahir Patiño Ruiz: Registró tiempo de término | 🔴 11/10/2025 17:36 - Sandra Paola Meneses Castillo: RECIBE Jose Mejía. </t>
  </si>
  <si>
    <t>LOGAN</t>
  </si>
  <si>
    <t>LYG245A</t>
  </si>
  <si>
    <t>Av. Gran Canal del Desagüe 6, Benito Juárez Xalostoc, 55340 Ecatepec de Morelos, Méx., México</t>
  </si>
  <si>
    <t>Av. José Loreto Fabela 745, Pueblo de San Juan de Aragón, Gustavo A. Madero, 07910 Ciudad de México, CDMX, México</t>
  </si>
  <si>
    <t>TANIA YAZMIN SALCEDO LOPEZ</t>
  </si>
  <si>
    <t>MAURICIO MIRANDA CORDOVA</t>
  </si>
  <si>
    <t>🔴 11/10/2025 21:21 - Jorge Alberto De La Vega Laguna: Reasignación de servicio: DE [Sin asignar] HACIA [Sin asignar] | 🔴 11/10/2025 21:23 - Jorge Alberto De La Vega Laguna: Realizó modificación de costo de arrastre incrementando $153.00 (de $1,028.50 a $1,181.50) | 🔴 11/10/2025 21:36 - Jorge Alberto De La Vega Laguna: Realizó modificación de costo de arrastre reduciendo $0.00 (de $1,181.50 a $1,181.50) | 🔴 11/10/2025 21:51 - Jorge Alberto De La Vega Laguna: Se realizó el registro de tiempo de arribo | 🔴 11/10/2025 21:51 - Jorge Alberto De La Vega Laguna: Se realizó el registro de tiempo de arribo | 🔴 11/10/2025 21:51 - Jorge Alberto De La Vega Laguna: Se realizó el registro de tiempo de contacto | 🔴 11/10/2025 22:37 - MAURICIO MIRANDA CORDOVA: Registró tiempo de término</t>
  </si>
  <si>
    <t>WJS377A</t>
  </si>
  <si>
    <t>Al Tejocote 1, Lazaro Cardenas, 54870 Cuautitlán, Méx., México</t>
  </si>
  <si>
    <t>Guanajuato Sur 279, La Purisima Tulpetlac, 55405 Ecatepec de Morelos, Méx., México</t>
  </si>
  <si>
    <t>ARTURO MENDOZA FLORES</t>
  </si>
  <si>
    <t>🔴 12/10/2025 00:14 - Jorge Alberto De La Vega Laguna: Reasignación de servicio: DE [Sin asignar] HACIA [Sin asignar] | 🔴 12/10/2025 00:15 - Jorge Alberto De La Vega Laguna: Realizó una modificación en el expediente | 🔴 12/10/2025 00:16 - Jorge Alberto De La Vega Laguna: Realizó modificación de costo de arrastre incrementando $2,431.00 (de $1,100.00 a $3,531.00) | 🔴 12/10/2025 00:17 - Jorge Alberto De La Vega Laguna: eco casetas 20364403 eco pension 20364407 eco arrastre 20364367 | 🔴 12/10/2025 01:12 - Jorge Alberto De La Vega Laguna: Se realizó el registro de tiempo de arribo | 🔴 12/10/2025 01:12 - Jorge Alberto De La Vega Laguna: Se realizó el registro de tiempo de contacto | 🔴 12/10/2025 03:46 - Jorge Alberto De La Vega Laguna: Se realizó el registro de tiempo de término, el operador que concluyo el servicio fue Roberto German Montero</t>
  </si>
  <si>
    <t>MSJ447A</t>
  </si>
  <si>
    <t>José Clemente Orozco 21, 55635 Las Plazas, Méx., México</t>
  </si>
  <si>
    <t>Sebastián Lerdo de Tejada 10, Lazaro Cardenas, 57138 Cdad. Nezahualcóyotl, Méx., México</t>
  </si>
  <si>
    <t>DANIEL MAYREN MONTALVAN</t>
  </si>
  <si>
    <t>ARGENTO</t>
  </si>
  <si>
    <t>Roberto  Guzman Flores</t>
  </si>
  <si>
    <t>🔴 12/10/2025 17:28 - Roberto  Guzman Flores: Realizó modificación de costo de arrastre incrementando $739.50 (de $2,303.50 a $3,043.00) | 🔴 12/10/2025 17:30 - Roberto  Guzman Flores: Realizó modificación de servicios adicionales incrementando $1,517.24 (de $3,043.00 a $4,560.24) - Rubros: Caseta Cubierta: $0.00 → $517.24, Otros: $0.00 → $1,000.00 | 🔴 12/10/2025 17:31 - Roberto  Guzman Flores: ASIGNA FRANCISCO GUTIERREZ  86 KM  ECO 20364961  + $600.00 DE CASETAS  ECO 20365038  Y PERMISO A ZUMPANGO ECO 20365035 | 🔴 12/10/2025 18:16 - JAVIER ALEJANDRO JIMENEZ AVILA: Se realizó el registro de tiempo de arribo | 🔴 12/10/2025 18:17 - JAVIER ALEJANDRO JIMENEZ AVILA: Realizó una modificación en el expediente | 🔴 12/10/2025 18:17 - JAVIER ALEJANDRO JIMENEZ AVILA: Se realizó el registro de tiempo de contacto | 🔴 12/10/2025 19:33 - CHRISTIAN EZEQUIEL ROCHA GUARNEROS: Registró tiempo de término</t>
  </si>
  <si>
    <t>MJS377A</t>
  </si>
  <si>
    <t>Mariano de Abasolo 5, San Lorenzo Tetlixtac, 55714 San Francisco Coacalco, Méx., México</t>
  </si>
  <si>
    <t>Jesus Arturo Munguia Martinez</t>
  </si>
  <si>
    <t>🔴 13/10/2025 07:52 - Sandra Paola Meneses Castillo: Reasignación de servicio: DE [Sin asignar] HACIA [Sin asignar] | 🔴 13/10/2025 07:59 - Sandra Paola Meneses Castillo: Se realizó el registro de tiempo de arribo | 🔴 13/10/2025 07:59 - Sandra Paola Meneses Castillo: Se realizó el registro de tiempo de contacto | 🔴 13/10/2025 09:16 - Sandra Paola Meneses Castillo: Se realizó el registro de tiempo de término, el operador que concluyo el servicio fue Jesus Arturo Murguia Martinez | 🔴 13/10/2025 09:19 - Sandra Paola Meneses Castillo: Recibe, Rafael Rodríguez</t>
  </si>
  <si>
    <t>41G-414</t>
  </si>
  <si>
    <t>55773 Provenzal del bosque, Manzana 004, 55773 Ojo de Agua, Méx., México</t>
  </si>
  <si>
    <t>Hyundai Ecatepec, Vía Morelos, Santa Clara Coatitla, 55547 Ecatepec de Morelos, Méx., México</t>
  </si>
  <si>
    <t xml:space="preserve">SERGIO JIMENEZ   5667679466  </t>
  </si>
  <si>
    <t>🔴 13/10/2025 15:18 - Roberto  Guzman Flores: Realizó modificación de costo de arrastre incrementando $561.00 (de $1,385.50 a $1,946.50) | 🔴 13/10/2025 15:19 - Roberto  Guzman Flores: Realizó modificación de servicios adicionales incrementando $241.38 (de $1,946.50 a $2,187.88) - Rubros: Caseta Cubierta: $0.00 → $241.38 | 🔴 13/10/2025 15:33 - Roberto  Guzman Flores: Realizó una modificación en el expediente | 🔴 13/10/2025 15:33 - Roberto  Guzman Flores: 43 KM ECO 20366845   + $280.00 DE CASETAS  ECO  20366946 | 🔴 13/10/2025 16:13 - Roberto  Guzman Flores: Se realizó el registro de tiempo de arribo | 🔴 13/10/2025 16:13 - Roberto  Guzman Flores: Se realizó el registro de tiempo de arribo | 🔴 13/10/2025 16:13 - Roberto  Guzman Flores: Se realizó el registro de tiempo de arribo | 🔴 13/10/2025 16:14 - Roberto  Guzman Flores: Se realizó el registro de tiempo de contacto | 🔴 13/10/2025 17:05 - JAVIER ALEJANDRO JIMENEZ AVILA: yaqueline paredes  aundica   que   el topo de cobnertuira de  manionras ed de 2,048.22+ iva   n os asjuatamos   | 🔴 13/10/2025 17:33 - Manuel Alejandro García : Registró tiempo de término</t>
  </si>
  <si>
    <t>MG 5</t>
  </si>
  <si>
    <t>PHS4991</t>
  </si>
  <si>
    <t>C. Felipe Villanueva 133, Col. Héroes de Tecamac, 55763 Ciudad de México, Méx., México</t>
  </si>
  <si>
    <t>IMSS Velatorio, Santa Clara Coatitla, 55547 Ecatepec de Morelos, Méx., México</t>
  </si>
  <si>
    <t>JUANA MARGOT PEREZ</t>
  </si>
  <si>
    <t>OSCAR URIEL MARTINEZ MONROY</t>
  </si>
  <si>
    <t>🔴 13/10/2025 22:59 - Jorge Alberto De La Vega Laguna: Reasignación de servicio: DE [Sin asignar] HACIA [Sin asignar] | 🔴 13/10/2025 22:59 - Jorge Alberto De La Vega Laguna: Realizó una modificación en el expediente | 🔴 13/10/2025 22:59 - Jorge Alberto De La Vega Laguna: Realizó modificación de costo de arrastre incrementando $1,742.50 (de $250.00 a $1,992.50) | 🔴 13/10/2025 23:16 - Jorge Alberto De La Vega Laguna: Se realizó el registro de tiempo de arribo | 🔴 13/10/2025 23:16 - Jorge Alberto De La Vega Laguna: Se realizó el registro de tiempo de contacto | 🔴 14/10/2025 00:36 - Jorge Alberto De La Vega Laguna: Efrén cruz recibe | 🔴 14/10/2025 00:36 - Jorge Alberto De La Vega Laguna: Se realizó el registro de tiempo de término, el operador que concluyo el servicio fue OSCAR URIEL MARTINEZ MONROY</t>
  </si>
  <si>
    <t>Arrastre Grua AV - Tipo D</t>
  </si>
  <si>
    <t>MERCEDEZ</t>
  </si>
  <si>
    <t>04BD6K</t>
  </si>
  <si>
    <t>Autop. México - Querétaro 158, El Trebol, 54610 Tepotzotlán, Méx., México</t>
  </si>
  <si>
    <t>Av. Paseo las Haciendas 7, Fraccionamiento Paseos de Tultepec II, 54984 Fraccionamiento Paseos de Tultepec II, Méx., México</t>
  </si>
  <si>
    <t>IVAN MORENO</t>
  </si>
  <si>
    <t>🔴 14/10/2025 01:50 - Jorge Alberto De La Vega Laguna: Reasignación de servicio: DE [Sin asignar] HACIA [Sin asignar] | 🔴 14/10/2025 01:50 - Jorge Alberto De La Vega Laguna: Realizó una modificación en el expediente | 🔴 14/10/2025 01:51 - Jorge Alberto De La Vega Laguna: Realizó modificación de costo de arrastre incrementando $7,812.24 (de $2,700.00 a $10,512.24) | 🔴 14/10/2025 03:21 - Jorge Alberto De La Vega Laguna: Se realizó el registro de tiempo de arribo | 🔴 14/10/2025 03:22 - Jorge Alberto De La Vega Laguna: Se realizó el registro de tiempo de contacto | 🔴 14/10/2025 04:46 - Jorge Alberto De La Vega Laguna: Se realizó el registro de tiempo de término, el operador que concluyo el servicio fue JOSE ALFREDO AYALA OSEGUERA</t>
  </si>
  <si>
    <t>toyota</t>
  </si>
  <si>
    <t>YARIS</t>
  </si>
  <si>
    <t>Pto. Coatzacoalcos 143, Casas Alemán, Gustavo A. Madero, 07580 Ciudad de México, CDMX, México</t>
  </si>
  <si>
    <t>Perif. Blvd. Manuel Ávila Camacho 758A, El Mirador, 53150 Naucalpan de Juárez, Méx., México</t>
  </si>
  <si>
    <t xml:space="preserve"> gustavo soto</t>
  </si>
  <si>
    <t>🔴 14/10/2025 23:48 - Jorge Alberto De La Vega Laguna: Reasignación de servicio: DE [Sin asignar] HACIA [Sin asignar] | 🔴 14/10/2025 23:48 - Jorge Alberto De La Vega Laguna: Realizó una modificación en el expediente | 🔴 14/10/2025 23:49 - Jorge Alberto De La Vega Laguna: Realizó modificación de costo de arrastre incrementando $1,870.00 (de $2,750.00 a $4,620.00) | 🔴 14/10/2025 23:49 - Jorge Alberto De La Vega Laguna: 40 km + 290 casetas + 2500 patines exp 125281929 eco arrastre 20371092 eco casetas 20371119 eco patines 20371122 | 🔴 15/10/2025 01:13 - Jorge Alberto De La Vega Laguna: Realizó el servicio muerto</t>
  </si>
  <si>
    <t>STEPWEY</t>
  </si>
  <si>
    <t>173-ZFT</t>
  </si>
  <si>
    <t>Cto Exterior Mexiquense 25, San Cristóbal, Paseos de Ecatepec, 55029 Ecatepec de Morelos, Méx., México</t>
  </si>
  <si>
    <t>Hacienda la Lira 1, 76713 La Lira, Qro., México</t>
  </si>
  <si>
    <t>JORGE ANTONIO MEZA</t>
  </si>
  <si>
    <t>Edgar Gabriel  Perez Trejo</t>
  </si>
  <si>
    <t xml:space="preserve">🔴 15/10/2025 16:20 - Roberto  Guzman Flores: Registro de expediente | 🔴 15/10/2025 16:59 - Roberto  Guzman Flores: Se realizó el registro de tiempo de arribo | 🔴 15/10/2025 16:59 - Roberto  Guzman Flores: Se realizó el registro de tiempo de contacto | 🔴 15/10/2025 17:02 - Roberto  Guzman Flores: Realizó modificación de costo de arrastre reduciendo $0.00 (de $5,185.00 a $5,185.00) | 🔴 15/10/2025 17:03 - Roberto  Guzman Flores: Realizó modificación de servicios adicionales incrementando $1,154.74 (de $5,185.00 a $6,339.74) - Rubros: Caseta Cubierta: $0.00 → $1,154.74 | 🔴 15/10/2025 17:04 - Roberto  Guzman Flores: 200 km  + $1600.00 de casetas  el eco  20372696  cubre los  $6339.74 + iva  tope de cobertura  | 🔴 15/10/2025 19:26 - JORGE ALBERTO DE LA VEGA LAGUNA: Se realizó el registro de tiempo de término, el operador que concluyo el servicio fue Edgar Gabriel Pérez Trejo </t>
  </si>
  <si>
    <t>2DA OCT</t>
  </si>
  <si>
    <t>MAWDY</t>
  </si>
  <si>
    <t>SERIE5</t>
  </si>
  <si>
    <t>NFS307B</t>
  </si>
  <si>
    <t>José Loreto Fabela y Zoológico de Aragón, Zoológico de San Juan de Aragón, 07920 Ciudad de México, CDMX, México</t>
  </si>
  <si>
    <t>Canadá 24, Parque San Andrés, Coyoacán, 04040 Ciudad de México, CDMX, México</t>
  </si>
  <si>
    <t xml:space="preserve">JORGE OLVERA </t>
  </si>
  <si>
    <t>FELIPE VITE CERVANTES</t>
  </si>
  <si>
    <t>GUAYABA</t>
  </si>
  <si>
    <t>Yessenia Landero Salazar</t>
  </si>
  <si>
    <t>🔴 16/10/2025 09:12 - Yessenia Landero Salazar: Registro de expediente | 🔴 16/10/2025 09:13 - Yessenia Landero Salazar:    EXP 125283172   ECON  20373884 31 KM +2000 ALTA GAMA Y ECON  20373926 900 BLINDAJE AUT ITZAL VELA  | 🔴 16/10/2025 09:13 - Yessenia Landero Salazar: Realizó modificación de costo de arrastre incrementando $357.00 (de $1,309.00 a $1,666.00) | 🔴 16/10/2025 09:14 - Yessenia Landero Salazar: Realizó modificación de servicios adicionales incrementando $2,900.00 (de $1,666.00 a $4,566.00) - Rubros: Otros: $0.00 → $2,900.00 | 🔴 16/10/2025 09:14 - Yessenia Landero Salazar: Realizó modificación de costo de arrastre reduciendo $25.50 (de $4,566.00 a $4,540.50) | 🔴 16/10/2025 10:28 - SANDRA PAOLA MENESES CASTILLO: Se realizó el registro de tiempo de arribo | 🔴 16/10/2025 10:28 - SANDRA PAOLA MENESES CASTILLO: Se realizó el registro de tiempo de contacto | 🔴 16/10/2025 11:42 - FELIPE VITE CERVANTES: Registró tiempo de término</t>
  </si>
  <si>
    <t>TUCSON</t>
  </si>
  <si>
    <t>VERDE</t>
  </si>
  <si>
    <t>RAL330D</t>
  </si>
  <si>
    <t>San Juan de Dios 178, San Francisco Xal, 55330 Ecatepec</t>
  </si>
  <si>
    <t>Mixteco Zapotecas 1, Santa Clara Coatitla, 55548 Ecatepec de Morelos, Méx., México</t>
  </si>
  <si>
    <t>NULL 55141748328</t>
  </si>
  <si>
    <t>GUADALUPE SARAHI JOSE TAPIA</t>
  </si>
  <si>
    <t>CEREBRO</t>
  </si>
  <si>
    <t>🔴 17/10/2025 11:30 - Yessenia Landero Salazar: Registro de expediente | 🔴 17/10/2025 11:33 - ELISA BERNABE ROSAS: Realizó modificación de costo de arrastre reduciendo $0.00 (de $1,768.00 a $1,768.00) | 🔴 17/10/2025 11:34 - ELISA BERNABE ROSAS: Realizó modificación de servicios adicionales incrementando $2,900.00 (de $1,768.00 a $4,668.00) - Rubros: Maniobras: $0.00 → $2,900.00 | 🔴 17/10/2025 11:34 - ELISA BERNABE ROSAS: Realizó modificación de costo de arrastre reduciendo $0.00 (de $4,668.00 a $4,668.00) | 🔴 17/10/2025 11:34 - ELISA BERNABE ROSAS:   EXP 125284449 ECON  20376959  PLANO 1 // ECON 2500 MANIOBRAS 20377039 | 🔴 17/10/2025 11:36 - ELISA BERNABE ROSAS: COORDINA ELISA | 🔴 17/10/2025 12:46 - ELISA BERNABE ROSAS: Se realizó el registro de tiempo de arribo | 🔴 17/10/2025 12:46 - ELISA BERNABE ROSAS: Se realizó el registro de tiempo de contacto | 🔴 17/10/2025 14:52 - ROBERTO GUZMAN FLORES: Se realizó el registro de tiempo de término, el operador que concluyo el servicio fue GUADALUPE SARAHI JOSE TAPIA | 🔴 17/10/2025 14:58 - Yessenia Landero Salazar: Realizó modificación de servicios adicionales reduciendo $400.00 (de $4,668.00 a $4,268.00) - Rubros: Maniobras: $2,900.00 → $2,500.00 | 🔴 17/10/2025 14:58 - Yessenia Landero Salazar: Realizó modificación de costo de arrastre reduciendo $0.00 (de $4,268.00 a $4,268.00) | 🔴 17/10/2025 14:58 - Yessenia Landero Salazar: n le paso corriente y ya no pago su excedente, no aviso a su asistencia y7 se le dejaron las maniobras</t>
  </si>
  <si>
    <t>Arrastre Grua AV - Tipo B</t>
  </si>
  <si>
    <t>CRAFTER</t>
  </si>
  <si>
    <t>16BK2C</t>
  </si>
  <si>
    <t>Av. Centenario 522, Pueblo de Santiago Atzacoalco, Gustavo A. Madero, 07040 Ciudad de México, CDMX, México</t>
  </si>
  <si>
    <t>Av. Buenavista 33, San Jose Buenavista, 54710 Cuautitlán Izcalli, Méx., México</t>
  </si>
  <si>
    <t xml:space="preserve"> OCTAVIO SANCHEZ</t>
  </si>
  <si>
    <t>Juan Manuel Alcantar Garcia</t>
  </si>
  <si>
    <t>SANSON</t>
  </si>
  <si>
    <t>🔴 17/10/2025 23:39 - Jorge Alberto De La Vega Laguna: Registro de expediente | 🔴 17/10/2025 23:41 - Jorge Alberto De La Vega Laguna: Reasignación de servicio: DE [Sin asignar] HACIA [Sin asignar] | 🔴 17/10/2025 23:41 - Jorge Alberto De La Vega Laguna: Realizó una modificación en el expediente | 🔴 17/10/2025 23:42 - Jorge Alberto De La Vega Laguna: Realizó modificación de costo de arrastre incrementando $2,405.50 (de $1,800.00 a $4,205.50) | 🔴 17/10/2025 23:42 - Jorge Alberto De La Vega Laguna: Realizó modificación de costo de arrastre incrementando $480.02 (de $4,205.50 a $4,685.52) | 🔴 17/10/2025 23:44 - Jorge Alberto De La Vega Laguna: 125285345 TPO 120 MIN  61 KM B + DESFLECHE + 812 CASETAS ECO ARRASTRE 20379220 ECO DESFLECHE 20379267 ECO CASETAS 20379271 | 🔴 18/10/2025 01:30 - Jorge Alberto De La Vega Laguna: Se realizó el registro de tiempo de arribo | 🔴 18/10/2025 01:30 - Jorge Alberto De La Vega Laguna: Se realizó el registro de tiempo de contacto | 🔴 18/10/2025 03:37 - JUAN MANUEL ALCANTARA GARCIA: Registró tiempo de término</t>
  </si>
  <si>
    <t>630XLD</t>
  </si>
  <si>
    <t>Av. ATENANCO 426, Ex-Hacienda Santa Ines, 55796 Ex-Hacienda Santa Inés, Méx., México</t>
  </si>
  <si>
    <t>Algarín, 06880 Ciudad de México, CDMX</t>
  </si>
  <si>
    <t xml:space="preserve">ERICA GISERLA ROSAS </t>
  </si>
  <si>
    <t>Luis Vicente Rivera Vazquez</t>
  </si>
  <si>
    <t>🔴 18/10/2025 12:39 - Yessenia Landero Salazar: Registro de expediente | 🔴 18/10/2025 12:40 - Yessenia Landero Salazar: ECON 20379793 61 KM +1000 ENTRAR A NEXTLALPAN// ECON 700 CASTEAS 1ERO 500 20379872 Y POR 200 PESOS 20379873    
SEGUIMIENTO ELISA BERNABE
 | 🔴 18/10/2025 12:41 - Yessenia Landero Salazar: Realizó modificación de costo de arrastre incrementando $2,405.50 (de $0.00 a $2,405.50) | 🔴 18/10/2025 12:41 - Yessenia Landero Salazar: Realizó modificación de servicios adicionales incrementando $1,700.00 (de $2,405.50 a $4,105.50) - Rubros: Caseta Cubierta: $0.00 → $700.00, Otros: $0.00 → $1,000.00 | 🔴 18/10/2025 12:42 - ELISA BERNABE ROSAS: gestiona elisa | 🔴 18/10/2025 13:24 - ELISA BERNABE ROSAS: Realizó una modificación en el expediente | 🔴 18/10/2025 13:46 - ELISA BERNABE ROSAS: Se realizó el registro de tiempo de arribo | 🔴 18/10/2025 13:46 - ELISA BERNABE ROSAS: Se realizó el registro de tiempo de contacto | 🔴 18/10/2025 15:33 - Luis Vicente Rivera Vazquez: Registró tiempo de término</t>
  </si>
  <si>
    <t>BMW</t>
  </si>
  <si>
    <t>PCM2509</t>
  </si>
  <si>
    <t>Av. Central 107A, Joyas de Aragon, 57170 Cdad. Nezahualcóyotl, Méx., México</t>
  </si>
  <si>
    <t>Brisa 81, Hacienda San Pablo, 54925 San Pablo de las Salinas, Méx., México</t>
  </si>
  <si>
    <t>JOSE SALVADOR HINOJOSA HERNANDEZ</t>
  </si>
  <si>
    <t>🔴 18/10/2025 21:14 - Jorge Alberto De La Vega Laguna: Registro de expediente | 🔴 18/10/2025 21:49 - Jorge Alberto De La Vega Laguna: Reasignación de servicio: DE [Sin asignar] HACIA [Sin asignar] | 🔴 18/10/2025 21:56 - Jorge Alberto De La Vega Laguna: Realizó modificación de costo de arrastre incrementando $680.50 (de $1,717.00 a $2,397.50) | 🔴 18/10/2025 22:16 - Jorge Alberto De La Vega Laguna: Se realizó el registro de tiempo de arribo | 🔴 18/10/2025 22:17 - Jorge Alberto De La Vega Laguna: Se realizó el registro de tiempo de contacto | 🔴 18/10/2025 22:27 - Jorge Alberto De La Vega Laguna: Realizó el servicio muerto</t>
  </si>
  <si>
    <t>CUPRA</t>
  </si>
  <si>
    <t>PWA245E</t>
  </si>
  <si>
    <t>Tlatelolco 9B, Cd Azteca 1ra Secc, 55127 Ecatepec de Morelos, Méx., México</t>
  </si>
  <si>
    <t>Manzana 024, Bosques de la Herradura, 52784 Naucalpan de Juárez, Méx.</t>
  </si>
  <si>
    <t xml:space="preserve"> samuel tapia tel: 5548317566</t>
  </si>
  <si>
    <t>🔴 19/10/2025 07:35 - Sandra Paola Meneses Castillo: Registro de expediente | 🔴 19/10/2025 07:37 - Sandra Paola Meneses Castillo: / ECO ARRASTRE: 20380889/ ECO CASETAS: 20380913 | 🔴 19/10/2025 08:30 - Sandra Paola Meneses Castillo: Realizó una modificación en el expediente | 🔴 19/10/2025 08:32 - Sandra Paola Meneses Castillo: Realizó el servicio muerto</t>
  </si>
  <si>
    <t>sedan</t>
  </si>
  <si>
    <t>verde</t>
  </si>
  <si>
    <t>MMF358A</t>
  </si>
  <si>
    <t>Agata 6, Col. Estrella, Gustavo A. Madero, 07810 Ciudad de México, CDMX, México</t>
  </si>
  <si>
    <t>C. 313 17, El Coyol, Gustavo A. Madero, 07420 Ciudad de México, CDMX, México</t>
  </si>
  <si>
    <t>:DIANA PATRICIA MALDONADO</t>
  </si>
  <si>
    <t>JOSE ULISES PEREZ SALDAÑA</t>
  </si>
  <si>
    <t>🔴 19/10/2025 19:56 - Jorge Alberto De La Vega Laguna: Registro de expediente | 🔴 19/10/2025 19:56 - Jorge Alberto De La Vega Laguna: Reasignación de servicio: DE [Sin asignar] HACIA [Sin asignar] | 🔴 19/10/2025 19:57 - Jorge Alberto De La Vega Laguna: Realizó modificación de costo de arrastre incrementando $382.50 (de $977.50 a $1,360.00) | 🔴 19/10/2025 20:28 - JAVIER ALEJANDRO JIMENEZ AVILA: Realizó una modificación en el expediente | 🔴 19/10/2025 20:28 - JAVIER ALEJANDRO JIMENEZ AVILA: Se realizó el registro de tiempo de arribo | 🔴 19/10/2025 20:28 - JAVIER ALEJANDRO JIMENEZ AVILA: Se realizó el registro de tiempo de contacto | 🔴 19/10/2025 21:02 - JOSE ULISES PEREZ SALDAÑA: Registró tiempo de término</t>
  </si>
  <si>
    <t>NP300</t>
  </si>
  <si>
    <t>LE-68107</t>
  </si>
  <si>
    <t>Calle Michoacán, Hueyotenco, 55749 San Martín Azcatepec, Méx., México</t>
  </si>
  <si>
    <t>El Parque, Ecatepec de Morelos, Méx.</t>
  </si>
  <si>
    <t>ISMAEL SEGOVIA DE LA ROSA</t>
  </si>
  <si>
    <t>Cesar  Susano  Flores</t>
  </si>
  <si>
    <t>ATHOS</t>
  </si>
  <si>
    <t>🔴 20/10/2025 17:11 - JAVIER ALEJANDRO JIMENEZ AVILA: Registro de expediente | 🔴 20/10/2025 18:19 - ROBERTO GUZMAN FLORES: Se realizó el registro de tiempo de arribo | 🔴 20/10/2025 18:19 - ROBERTO GUZMAN FLORES: Se realizó el registro de tiempo de contacto | 🔴 20/10/2025 20:10 - CESAR SUSANO FLORES: Registró tiempo de término</t>
  </si>
  <si>
    <t xml:space="preserve">MAPFRE SERVICIOS REGULARES </t>
  </si>
  <si>
    <t>X50BPZ</t>
  </si>
  <si>
    <t>Arrecife 2, Bahias de Jaltenco, 55783 Alborada Jaltenco, Méx.</t>
  </si>
  <si>
    <t>Av. José López Portillo 299, El Arbol, 55027 Ecatepec de Morelos, Méx., México</t>
  </si>
  <si>
    <t>CASANOVA VALLEJO SA</t>
  </si>
  <si>
    <t>🔴 21/10/2025 08:16 - Sandra Paola Meneses Castillo: Registro de expediente | 🔴 21/10/2025 08:18 - Sandra Paola Meneses Castillo: Reasignación de servicio: DE [Sin asignar] HACIA [Sin asignar] | 🔴 21/10/2025 09:39 - Sandra Paola Meneses Castillo: Se realizó el registro de tiempo de arribo | 🔴 21/10/2025 09:39 - Sandra Paola Meneses Castillo: Se realizó el registro de tiempo de contacto | 🔴 21/10/2025 10:40 - Sandra Paola Meneses Castillo:  recibe Carlos Montañez | 🔴 21/10/2025 10:40 - GUADALUPE SARAHI JOSE TAPIA: Registró tiempo de término</t>
  </si>
  <si>
    <t>ITALIKA</t>
  </si>
  <si>
    <t>Pino 4, San Bartolo, 54784 San Bartolo, Méx., México</t>
  </si>
  <si>
    <t>Manuel Caballero 29, Obrera, Cuauhtémoc, 06800 Ciudad de México, CDMX, México</t>
  </si>
  <si>
    <t xml:space="preserve">EDGAR DE LA ROSA ROMERO </t>
  </si>
  <si>
    <t>🔴 22/10/2025 07:07 - Yessenia Landero Salazar: Registro de expediente | 🔴 22/10/2025 07:11 - Yessenia Landero Salazar: Se paso al estatus Sin Asignar | 🔴 22/10/2025 07:16 - Yessenia Landero Salazar: Realizó modificación de costo de arrastre incrementando $1,249.50 (de $2,201.50 a $3,451.00) | 🔴 22/10/2025 07:16 - Yessenia Landero Salazar: Realizó modificación de servicios adicionales incrementando $700.00 (de $3,451.00 a $4,151.00) - Rubros: Caseta Cubierta: $0.00 → $700.00 | 🔴 22/10/2025 07:52 - Yessenia Landero Salazar: Aut Liliana Andrade 
Econ 102 KM 20388365
Econ 20388386 | 🔴 22/10/2025 08:03 - ELISA BERNABE ROSAS: Econ 102 KM 20388365
Econ 20388386 700 casetas | 🔴 22/10/2025 08:04 - ELISA BERNABE ROSAS: GESTIONA ELISA | 🔴 22/10/2025 08:19 - HALCONES  : Reasignación de servicio: DE [Sin asignar] HACIA [Sin asignar] | 🔴 22/10/2025 08:19 - HALCONES  : Se activa el recurso 12 para edicion de este expediente | 🔴 22/10/2025 08:20 - HALCONES  : Realizó una modificación en el expediente | 🔴 22/10/2025 08:20 - HALCONES  : Se paso al estatus Sin Asignar | 🔴 22/10/2025 08:22 - HALCONES  : SE REALIZA LA MODIFICACION DE DESTINO POR MEDIO DE CORDENANDAS DADOS AL GRUPO, SE ACTIVA LA 12 PARA ASIGMNAR Y EDITAR , SE REALIZA MODIFICACION Y SE REGRESA A ESTATUS DE SIN ASIGNAR | 🔴 22/10/2025 10:35 - ELISA BERNABE ROSAS: Reasignación de servicio: DE [Sin asignar] HACIA [Sin asignar] | 🔴 22/10/2025 10:36 - ELISA BERNABE ROSAS: Se realizó el registro de tiempo de arribo | 🔴 22/10/2025 10:36 - ELISA BERNABE ROSAS: Se realizó el registro de tiempo de contacto | 🔴 22/10/2025 12:20 - MIGUEL ANGEL FLORES FLORES: Registró tiempo de término | 🔴 22/10/2025 12:22 - ELISA BERNABE ROSAS: RECIBE JESUS DIAZ</t>
  </si>
  <si>
    <t>VOLKSWAGEN</t>
  </si>
  <si>
    <t>AMARILLO</t>
  </si>
  <si>
    <t>MJM872B</t>
  </si>
  <si>
    <t>Miguel Hidalgo s/n, 54784 San Bartolo, Méx., México</t>
  </si>
  <si>
    <t>PVG4+QM, 54833 Melchor Ocampo, Méx., México</t>
  </si>
  <si>
    <t xml:space="preserve">CHRISTIAN FRANCO ESQUIVEL CRUZ </t>
  </si>
  <si>
    <t>🔴 22/10/2025 07:14 - Yessenia Landero Salazar: Registro de expediente | 🔴 22/10/2025 07:16 - Yessenia Landero Salazar: Realizó modificación de costo de arrastre incrementando $1,071.00 (de $926.50 a $1,997.50) | 🔴 22/10/2025 07:17 - Yessenia Landero Salazar: Realizó modificación de servicios adicionales incrementando $700.00 (de $1,997.50 a $2,697.50) - Rubros: Caseta Cubierta: $0.00 → $700.00 | 🔴 22/10/2025 07:50 - Yessenia Landero Salazar: Realizó una modificación en el expediente | 🔴 22/10/2025 07:50 - Yessenia Landero Salazar: AUT GUADALUPE GONZALEZ  | 🔴 22/10/2025 07:51 - Yessenia Landero Salazar: 45 KM  ECON 20388376
700 CASETAS ECON 20388382 | 🔴 22/10/2025 07:56 - ELISA BERNABE ROSAS: Realizó una modificación en el expediente | 🔴 22/10/2025 07:56 - ELISA BERNABE ROSAS: GESTIONA ELISA | 🔴 22/10/2025 08:55 - Yessenia Landero Salazar: Se realizó el registro de tiempo de arribo | 🔴 22/10/2025 08:55 - Yessenia Landero Salazar: Se realizó el registro de tiempo de contacto | 🔴 22/10/2025 09:45 - ELISA BERNABE ROSAS: Realizó una modificación en el expediente | 🔴 22/10/2025 09:46 - ELISA BERNABE ROSAS: Realizó modificación de servicios adicionales incrementando $2,000.00 (de $2,697.50 a $4,697.50) - Rubros: Maniobras: $0.00 → $2,000.00 | 🔴 22/10/2025 09:47 - ELISA BERNABE ROSAS: 2000 MANIOBRAS AUT ECATZIN AGUILAR  ECON 20388573 | 🔴 22/10/2025 10:27 - MIGUEL ANGEL FLORES FLORES: Registró tiempo de término | 🔴 22/10/2025 10:34 - ELISA BERNABE ROSAS: RECIBE JAVIER MEDINA | 🔴 22/10/2025 10:56 - ELISA BERNABE ROSAS: marca Ecatzin Aguilar cambia Econ de maniobras 2000 20388733</t>
  </si>
  <si>
    <t>FOCUS</t>
  </si>
  <si>
    <t>UNJ854A</t>
  </si>
  <si>
    <t>P.º San Francisco 158, 54680 Col Santa Teresa, Méx., México</t>
  </si>
  <si>
    <t>Cam. a Sta. Fe 596, Zenón Delgado, Álvaro Obregón, 01220 Ciudad de México, CDMX</t>
  </si>
  <si>
    <t>DIEZER YONG</t>
  </si>
  <si>
    <t>🔴 22/10/2025 15:26 - ELISA BERNABE ROSAS: Registro de expediente | 🔴 22/10/2025 15:28 - ELISA BERNABE ROSAS: ECON 20389747  POR 6339.74  + IVA  Y NA  1784.96  NETOS // CPT 107 KM + 900 CASETAS+500 CERRO+2500 BLOQUEADO  | 🔴 22/10/2025 15:29 - ELISA BERNABE ROSAS: Realizó modificación de costo de arrastre incrementando $1,198.50 (de $2,380.00 a $3,578.50) | 🔴 22/10/2025 15:29 - ELISA BERNABE ROSAS: Realizó modificación de servicios adicionales incrementando $4,300.00 (de $3,578.50 a $7,878.50) - Rubros: Caseta Cubierta: $0.00 → $900.00, Maniobras: $0.00 → $3,400.00 | 🔴 22/10/2025 15:30 - ELISA BERNABE ROSAS: Realizó modificación de costo de arrastre reduciendo $0.00 (de $7,878.50 a $7,878.50) | 🔴 22/10/2025 16:48 - ELISA BERNABE ROSAS: Se realizó el registro de tiempo de arribo | 🔴 22/10/2025 16:48 - ELISA BERNABE ROSAS: Se realizó el registro de tiempo de contacto | 🔴 22/10/2025 16:53 - ELISA BERNABE ROSAS: Realizó modificación de servicios adicionales reduciendo $1,538.00 (de $7,878.50 a $6,340.50) - Rubros: Maniobras: $3,400.00 → $1,862.00 | 🔴 22/10/2025 16:53 - ELISA BERNABE ROSAS: Realizó modificación de costo de arrastre reduciendo $0.00 (de $6,340.50 a $6,340.50) | 🔴 22/10/2025 16:53 - ELISA BERNABE ROSAS: YA NO S E HUZO MANIOBRA PERO LO DEJO A TOPE DE COBERTURA | 🔴 22/10/2025 19:57 - Luis Vicente Rivera Vazquez: Registró tiempo de término</t>
  </si>
  <si>
    <t>stratu</t>
  </si>
  <si>
    <t>MDS-522-A</t>
  </si>
  <si>
    <t>Luis Donaldo Colosio #63, San Juan, 55600 Zumpango de Ocampo, Méx., México</t>
  </si>
  <si>
    <t>Valle de San Fernando 129, Valle de Aragon 3ra Secc, 55280 Ecatepec de Morelos, Méx., México</t>
  </si>
  <si>
    <t xml:space="preserve">delfino mendez </t>
  </si>
  <si>
    <t>🔴 23/10/2025 21:20 - JAVIER ALEJANDRO JIMENEZ AVILA: Registro de expediente | 🔴 23/10/2025 23:07 - ROBERTO GUZMAN FLORES: Se realizó el registro de tiempo de arribo | 🔴 23/10/2025 23:07 - ROBERTO GUZMAN FLORES: Se realizó el registro de tiempo de contacto | 🔴 24/10/2025 00:31 - ROBERTO GUZMAN FLORES: Se realizó el registro de tiempo de término, el operador que concluyo el servicio fue RICARDO MALDONADO GARCIA</t>
  </si>
  <si>
    <t>GNP</t>
  </si>
  <si>
    <t>SX4</t>
  </si>
  <si>
    <t>4746K4</t>
  </si>
  <si>
    <t>Av. Carlos Hank González 28, Valle de Anahuac, 55210 Ecatepec de Morelos, Méx., México</t>
  </si>
  <si>
    <t>FRANCISCO HERNANDEZ VARELA</t>
  </si>
  <si>
    <t>🔴 24/10/2025 23:05 - Jorge Alberto De La Vega Laguna: Registro de expediente | 🔴 24/10/2025 23:05 - Jorge Alberto De La Vega Laguna: Reasignación de servicio: DE [Sin asignar] HACIA [Sin asignar] | 🔴 24/10/2025 23:07 - Jorge Alberto De La Vega Laguna: Realizó modificación de costo de arrastre incrementando $153.00 (de $1,462.00 a $1,615.00) | 🔴 24/10/2025 23:53 - Jorge Alberto De La Vega Laguna: Se realizó el registro de tiempo de arribo | 🔴 24/10/2025 23:55 - Jorge Alberto De La Vega Laguna: Se realizó el registro de tiempo de contacto | 🔴 25/10/2025 00:19 - Jorge Alberto De La Vega Laguna: 20396379 eco de pension jonahatan antonio  | 🔴 25/10/2025 00:19 - Jorge Alberto De La Vega Laguna: Realizó modificación de servicios adicionales incrementando $150.00 (de $1,615.00 a $1,765.00) - Rubros: Otros: $0.00 → $150.00 | 🔴 25/10/2025 00:19 - Jorge Alberto De La Vega Laguna: Realizó una modificación en el expediente | 🔴 25/10/2025 00:20 - Jorge Alberto De La Vega Laguna: Realizó modificación de costo de arrastre incrementando $800.00 (de $150.00 a $950.00) | 🔴 25/10/2025 00:20 - Jorge Alberto De La Vega Laguna: Realizó modificación de servicios adicionales reduciendo $150.00 (de $950.00 a $800.00) - Rubros: Otros: $150.00 → $0.00 | 🔴 25/10/2025 00:52 - Bryan Yahir Patiño Ruiz: Registró tiempo de término</t>
  </si>
  <si>
    <t>siniestros regulares</t>
  </si>
  <si>
    <t>Guanajuato Sur 49, La Purisima Tulpetlac, 55405 Ecatepec de Morelos, Méx., México</t>
  </si>
  <si>
    <t>Av. Patriotismo 98, Tacubaya, Miguel Hidalgo, 11800 Ciudad de México, CDMX</t>
  </si>
  <si>
    <t xml:space="preserve">francisco hernandez varela </t>
  </si>
  <si>
    <t>Oscar Uriel Martinez Monroy</t>
  </si>
  <si>
    <t>🔴 25/10/2025 06:40 - Sandra Paola Meneses Castillo: Registro de expediente | 🔴 25/10/2025 09:42 - Sandra Paola Meneses Castillo: Reasignación de servicio: DE [Sin asignar] HACIA [Sin asignar] | 🔴 25/10/2025 09:53 - Sandra Paola Meneses Castillo: Se realizó el registro de tiempo de arribo | 🔴 25/10/2025 09:53 - Sandra Paola Meneses Castillo: Se realizó el registro de tiempo de contacto | 🔴 25/10/2025 11:08 - Sandra Paola Meneses Castillo: Se realizó el registro de tiempo de término, el operador que concluyo el servicio fue Oscar Uriel Martinez Monroy</t>
  </si>
  <si>
    <t>SONIC</t>
  </si>
  <si>
    <t>H63ATG</t>
  </si>
  <si>
    <t>Calle Cto 20 173, Col. Héroes de Tecamac, 55763 Ciudad de México, Méx., México</t>
  </si>
  <si>
    <t>Ivonne 118, Amores de Don Juan, 43845 Pachuca de Soto, Hgo., México</t>
  </si>
  <si>
    <t>CARLOS ROBERTO URBAN CRUZ</t>
  </si>
  <si>
    <t>Luis Fernando Patricio Avila</t>
  </si>
  <si>
    <t>🔴 25/10/2025 19:53 - Jorge Alberto De La Vega Laguna: Registro de expediente | 🔴 25/10/2025 19:53 - Jorge Alberto De La Vega Laguna: Reasignación de servicio: DE [Sin asignar] HACIA [Sin asignar] | 🔴 25/10/2025 19:54 - Jorge Alberto De La Vega Laguna: Realizó modificación de servicios adicionales incrementando $1,250.00 (de $2,354.50 a $3,604.50) - Rubros: Caseta Cubierta: $0.00 → $250.00, Otros: $0.00 → $1,000.00 | 🔴 25/10/2025 19:54 - Jorge Alberto De La Vega Laguna: Realizó modificación de costo de arrastre incrementando $331.50 (de $3,604.50 a $3,936.00) | 🔴 25/10/2025 19:57 - Jorge Alberto De La Vega Laguna: 72 km + 290 casetas + 1160 hidalgo ECO CASETAS 20397452 | 🔴 25/10/2025 20:46 - Jorge Alberto De La Vega Laguna: Se realizó el registro de tiempo de arribo | 🔴 25/10/2025 20:46 - Jorge Alberto De La Vega Laguna: Se realizó el registro de tiempo de contacto | 🔴 25/10/2025 22:07 - Luis Fernando Patricio Avila: Registró tiempo de término</t>
  </si>
  <si>
    <t>CHEVY</t>
  </si>
  <si>
    <t>NNY783A</t>
  </si>
  <si>
    <t>Autop. México - Querétaro Km 43+300, El Trebol, 54614 Tepotzotlán, Méx., México</t>
  </si>
  <si>
    <t>México - Pachuca 140h, La Esmeralda, 55765 Ojo de Agua, Méx., México</t>
  </si>
  <si>
    <t>GENARO GARCIA INFANTE</t>
  </si>
  <si>
    <t>🔴 26/10/2025 00:37 - Jorge Alberto De La Vega Laguna: Registro de expediente | 🔴 26/10/2025 00:37 - Jorge Alberto De La Vega Laguna: Reasignación de servicio: DE [Sin asignar] HACIA [Sin asignar] | 🔴 26/10/2025 00:38 - Jorge Alberto De La Vega Laguna: Realizó una modificación en el expediente | 🔴 26/10/2025 00:38 - Jorge Alberto De La Vega Laguna: Realizó modificación de costo de arrastre incrementando $3,451.00 (de $1,200.00 a $4,651.00) | 🔴 26/10/2025 01:29 - Jorge Alberto De La Vega Laguna: Se realizó el registro de tiempo de arribo | 🔴 26/10/2025 01:29 - Jorge Alberto De La Vega Laguna: Se realizó el registro de tiempo de contacto | 🔴 26/10/2025 02:29 - Jorge Alberto De La Vega Laguna: Se realizó el registro de tiempo de término, el operador que concluyo el servicio fue Oscar Uriel Martinez Monroy</t>
  </si>
  <si>
    <t>CAMRY</t>
  </si>
  <si>
    <t>01F338</t>
  </si>
  <si>
    <t>Anillo Perif. 1020, San Felipe de Jesús, Gustavo A. Madero, 07510 Ciudad de México, CDMX</t>
  </si>
  <si>
    <t>Ruiz Cortines 1, Benito Juárez, Gustavo A. Madero, 07250 Ciudad de México, CDMX</t>
  </si>
  <si>
    <t>JOEL ONTIVEROS CORTES</t>
  </si>
  <si>
    <t>Jose Ulises Perez SALDAÑA</t>
  </si>
  <si>
    <t>LUCIUS</t>
  </si>
  <si>
    <t>🔴 26/10/2025 02:14 - Jorge Alberto De La Vega Laguna: Registro de expediente | 🔴 26/10/2025 02:14 - Jorge Alberto De La Vega Laguna: Realizó modificación de costo de arrastre incrementando $505.00 (de $1,105.00 a $1,610.00) | 🔴 26/10/2025 02:18 - Jorge Alberto De La Vega Laguna: Reasignación de servicio: DE [Sin asignar] HACIA [Sin asignar] | 🔴 26/10/2025 02:20 - Jorge Alberto De La Vega Laguna: 20 km + 290 casetas ECO CASETAS 20397627 | 🔴 26/10/2025 02:35 - Jorge Alberto De La Vega Laguna: Se realizó el registro de tiempo de arribo | 🔴 26/10/2025 02:35 - Jorge Alberto De La Vega Laguna: Se realizó el registro de tiempo de contacto | 🔴 26/10/2025 03:17 - Jose Ulises Perez Saldaña: Registró tiempo de término</t>
  </si>
  <si>
    <t>MAZDA3</t>
  </si>
  <si>
    <t>MJR348A</t>
  </si>
  <si>
    <t>Av. Carlos Hank González 16, Laderas del Peñon, 55130 Ecatepec de Morelos, Méx., México</t>
  </si>
  <si>
    <t>JORGE LUIS LOPEZ HENANDEZ</t>
  </si>
  <si>
    <t>Jorge Armando  Abundez Ortiz</t>
  </si>
  <si>
    <t>FENIX</t>
  </si>
  <si>
    <t>🔴 26/10/2025 05:24 - Jorge Alberto De La Vega Laguna: Registro de expediente | 🔴 26/10/2025 05:24 - Jorge Alberto De La Vega Laguna: Reasignación de servicio: DE [Sin asignar] HACIA [Sin asignar] | 🔴 26/10/2025 05:25 - Jorge Alberto De La Vega Laguna: Realizó modificación de servicios adicionales incrementando $300.00 (de $800.00 a $1,100.00) - Rubros: Resguardo: $0.00 → $300.00 | 🔴 26/10/2025 06:22 - Jorge Alberto De La Vega Laguna: Se realizó el registro de tiempo de arribo | 🔴 26/10/2025 06:23 - Jorge Alberto De La Vega Laguna: Se realizó el registro de tiempo de contacto | 🔴 26/10/2025 07:21 - Roberto  Guzman Florez: Se realizó el registro de tiempo de término, el operador que concluyo el servicio fue Jorge Armando  Abundez Ortiz</t>
  </si>
  <si>
    <t>CHARGER</t>
  </si>
  <si>
    <t>NBU933A</t>
  </si>
  <si>
    <t>Av. José López Portillo # 78, San Francisco Chilpan, 54944 Buenavista, Méx.</t>
  </si>
  <si>
    <t>Framboyán 120, Villa de las Flores, 55710 San Francisco Coacalco, Méx.</t>
  </si>
  <si>
    <t>IVONE LIZBETH ROCHA 5512626812</t>
  </si>
  <si>
    <t>Luis Vicente  Rivera Vazquez</t>
  </si>
  <si>
    <t>🔴 26/10/2025 08:05 - Sandra Paola Meneses Castillo: Registro de expediente | 🔴 26/10/2025 08:05 - Sandra Paola Meneses Castillo: eco casetas: 20397711 | 🔴 26/10/2025 08:14 - Sandra Paola Meneses Castillo: Reasignación de servicio: DE [Guadalupe Sarahi Jose (Eco: 66)] HACIA [Sin asignar] | 🔴 26/10/2025 09:19 - Yessenia Landero Salazar: Se realizó el registro de tiempo de arribo | 🔴 26/10/2025 09:19 - Yessenia Landero Salazar: Se realizó el registro de tiempo de contacto | 🔴 26/10/2025 10:10 - Luis Vicente Rivera Vazquez: Registró tiempo de término</t>
  </si>
  <si>
    <t>MINICOPPER</t>
  </si>
  <si>
    <t>CEREZA/NEGRO</t>
  </si>
  <si>
    <t>HHA378E</t>
  </si>
  <si>
    <t>Autop. Pirámides - Texcoco, 56020 Méx., México</t>
  </si>
  <si>
    <t>Distribuidor Vial La Paz No. 113, Adolfo López Mateos, 42094 Pachuca de Soto, Hgo., México</t>
  </si>
  <si>
    <t>OMAR GARCIA GOMEZ / 7751501730</t>
  </si>
  <si>
    <t>Alan Jahir Garcia Gomez</t>
  </si>
  <si>
    <t>🔴 26/10/2025 11:09 - Yessenia Landero Salazar: Registro de expediente | 🔴 26/10/2025 11:10 - Yessenia Landero Salazar: Realizó modificación de costo de arrastre incrementando $535.50 (de $2,609.50 a $3,145.00) | 🔴 26/10/2025 11:11 - Yessenia Landero Salazar: Realizó modificación de servicios adicionales incrementando $1,344.82 (de $3,145.00 a $4,489.82) - Rubros: Caseta Cubierta: $0.00 → $344.82, Otros: $0.00 → $1,000.00 | 🔴 26/10/2025 11:15 - Yessenia Landero Salazar: (90 km + 400 casetas + 1000 permiso para entrar a hgo)   autoriza alma gutierrez   
 economico de casetas 20397787 
economico de arrastre 20397762 
economico de gratificacion 20397789
 | 🔴 26/10/2025 11:18 - Yessenia Landero Salazar: Realizó una modificación en el expediente | 🔴 26/10/2025 11:59 - Yessenia Landero Salazar: Se realizó el registro de tiempo de arribo | 🔴 26/10/2025 11:59 - Yessenia Landero Salazar: Se realizó el registro de tiempo de contacto | 🔴 26/10/2025 14:08 - Roberto  Guzman Florez: RECIBE  VICENTE  MENDOZA REBOLLADO | 🔴 26/10/2025 15:00 - Roberto  Guzman Florez: Se realizó el registro de tiempo de término, el operador que concluyo el servicio fue Alan Jahir Garcia Gomez</t>
  </si>
  <si>
    <t>Arroz 36, Santa Isabel Industrial, Iztapalapa, 09820 Ciudad de México, CDMX, México</t>
  </si>
  <si>
    <t xml:space="preserve">🔴 27/10/2025 07:02 - Yessenia Landero Salazar: Registro de expediente | 🔴 27/10/2025 07:05 - Yessenia Landero Salazar: Realizó modificación de costo de arrastre reduciendo $0.00 (de $1,564.00 a $1,564.00) | 🔴 27/10/2025 07:43 - Yessenia Landero Salazar: Reasignación de servicio: DE [Sin asignar] HACIA [Sin asignar] | 🔴 27/10/2025 10:03 - Elisa Bernabe Rosas: Se realizó el registro de tiempo de arribo | 🔴 27/10/2025 10:03 - Elisa Bernabe Rosas: Se realizó el registro de tiempo de contacto | 🔴 27/10/2025 11:26 - Yessenia Landero Salazar: AUT MARIA SAUCEDO HORA DE ESPERA POR TALLER CERRADO  INICIO 11:20 TERMINO 12:20  | 🔴 27/10/2025 12:11 - Manuel Alejandro Garcia Rodriguez: Registró tiempo de término | 🔴 27/10/2025 12:13 - Yessenia Landero Salazar:  recibe Alan montes Valverde  </t>
  </si>
  <si>
    <t xml:space="preserve">MAWDY </t>
  </si>
  <si>
    <t>N93BHJ</t>
  </si>
  <si>
    <t>RWC7+8V La Trinidad, Méx., México</t>
  </si>
  <si>
    <t>C. 2 219, La Cañada, 56589 Jorge Jiménez Cantú, Méx., México</t>
  </si>
  <si>
    <t>INES ADRIANA HERNANDEZ SANTOS / 5634453596</t>
  </si>
  <si>
    <t>🔴 27/10/2025 09:57 - Yessenia Landero Salazar: Registro de expediente | 🔴 27/10/2025 09:58 - Yessenia Landero Salazar: Realizó modificación de costo de arrastre incrementando $1,096.50 (de $3,145.00 a $4,241.50) | 🔴 27/10/2025 09:59 - Yessenia Landero Salazar: Realizó modificación de servicios adicionales incrementando $2,300.00 (de $4,241.50 a $6,541.50) - Rubros: Caseta Cubierta: $0.00 → $1,800.00, Otros: $0.00 → $500.00 | 🔴 27/10/2025 09:59 - Yessenia Landero Salazar: AUT SANDRA ROD// ECON  20398706 133 KM +500 ENTRAR A ZUMPANGO // 1800 CASETAS  ECON POR 500 20398780 Y ECON 20398781 1300
SEGUIMIENTO ELISA BERNABE  | 🔴 27/10/2025 11:09 - Yessenia Landero Salazar: Se realizó el registro de tiempo de arribo | 🔴 27/10/2025 11:09 - Yessenia Landero Salazar: Se realizó el registro de tiempo de contacto | 🔴 27/10/2025 12:18 - Jose Ulises Perez Saldaña: Registró tiempo de término</t>
  </si>
  <si>
    <t xml:space="preserve">ALLIALZ ASISTENCIA VIAL </t>
  </si>
  <si>
    <t>HGZ-932-D</t>
  </si>
  <si>
    <t>Poniente 44, San Salvador Xochimanca, 02870 Ciudad de México, CDMX, México</t>
  </si>
  <si>
    <t>Plan de Ayala 5, El Plan, San Marcos, 42831 San Marcos, Hgo., México</t>
  </si>
  <si>
    <t xml:space="preserve"> ana lilia bonilla</t>
  </si>
  <si>
    <t>🔴 27/10/2025 18:37 - Roberto  Guzman Flores: Registro de expediente | 🔴 27/10/2025 18:43 - Roberto  Guzman Flores: Realizó modificación de costo de arrastre incrementando $1,275.00 (de $2,890.00 a $4,165.00) | 🔴 27/10/2025 18:44 - Roberto  Guzman Flores: Realizó modificación de servicios adicionales incrementando $2,379.31 (de $4,165.00 a $6,544.31) - Rubros: Caseta Cubierta: $0.00 → $1,379.31, Otros: $0.00 → $1,000.00 | 🔴 27/10/2025 18:51 - Roberto  Guzman Flores: Realizó modificación de servicios adicionales reduciendo $0.00 (de $6,544.31 a $6,544.31) | 🔴 27/10/2025 18:52 - Roberto  Guzman Flores: ECO  DE  ARRASTRE  20400572     ECO DE CASETAS  20400724   | 🔴 27/10/2025 18:53 - Roberto  Guzman Flores: Realizó una modificación en el expediente | 🔴 27/10/2025 18:54 - Roberto  Guzman Flores: Realizó modificación de servicios adicionales reduciendo $0.00 (de $6,544.31 a $6,544.31) | 🔴 27/10/2025 18:55 - Roberto  Guzman Flores: ECO DEL PERMISO PARA INGRESAR A HIDALGO  20400865 | 🔴 27/10/2025 18:55 - Roberto  Guzman Flores: 130 KM + $1600.00 DE CASETAS + $1000.00 DEL PERMISO PARA INGRESAR A HIDALGO  | 🔴 27/10/2025 18:55 - Roberto  Guzman Flores: Realizó una modificación en el expediente | 🔴 27/10/2025 20:05 - Javier Alejandro Jimenez Avila: Reasignación de servicio: DE [Ricardo Maldonado (Eco: 82)] HACIA [Sin asignar] | 🔴 27/10/2025 20:55 - Roberto  Guzman Flores: Se realizó el registro de tiempo de arribo | 🔴 27/10/2025 20:56 - Roberto  Guzman Flores: Se realizó el registro de tiempo de contacto | 🔴 27/10/2025 23:34 - Luis Fernando Patricio Avila: Registró tiempo de término</t>
  </si>
  <si>
    <t>MERCEDES C-200</t>
  </si>
  <si>
    <t>651XYH</t>
  </si>
  <si>
    <t>Colinas de las Nieves 180, Boulevares, 53140 Naucalpan de Juárez, Méx., México</t>
  </si>
  <si>
    <t>Río Guadalquivir 76, Cuauhtémoc, 06500 Ciudad de México, CDMX, México</t>
  </si>
  <si>
    <t>FRANCISCO JAVIER VAZQUEZ ROSAS</t>
  </si>
  <si>
    <t>🔴 28/10/2025 01:39 - Jorge Alberto De La Vega Laguna: Registro de expediente | 🔴 28/10/2025 01:39 - Jorge Alberto De La Vega Laguna: Reasignación de servicio: DE [Sin asignar] HACIA [Sin asignar] | 🔴 28/10/2025 01:40 - Jorge Alberto De La Vega Laguna: Realizó modificación de servicios adicionales incrementando $2,800.00 (de $1,181.50 a $3,981.50) - Rubros: Caseta Cubierta: $0.00 → $300.00, Parking: $0.00 → $2,500.00 | 🔴 28/10/2025 01:40 - Jorge Alberto De La Vega Laguna: Realizó modificación de costo de arrastre incrementando $943.50 (de $3,981.50 a $4,925.00) | 🔴 28/10/2025 02:39 - Jorge Alberto De La Vega Laguna: Se realizó el registro de tiempo de arribo | 🔴 28/10/2025 02:39 - Jorge Alberto De La Vega Laguna: Se realizó el registro de tiempo de contacto | 🔴 28/10/2025 02:43 - Jorge Alberto De La Vega Laguna: ECO ARRASTRE  20401114 ECO CASETAS 20401162 ECO PATINES 20401161 | 🔴 28/10/2025 03:57 - Jorge Alberto De La Vega Laguna: Se realizó el registro de tiempo de término, el operador que concluyo el servicio fue Jose Ulises Perez SALDAÑA</t>
  </si>
  <si>
    <t>Francisco Murguía 10-22, Col. Héroes de Tecamac, 55763 Ojo de Agua, Méx., México</t>
  </si>
  <si>
    <t>La Providencia, Ciudad de México, CDMX</t>
  </si>
  <si>
    <t>JUAN CARLOS VALDEZ CASTRO</t>
  </si>
  <si>
    <t>Gregorio Salvador Escalante</t>
  </si>
  <si>
    <t>Elisa Bernabe Rosas</t>
  </si>
  <si>
    <t>🔴 28/10/2025 12:24 - Elisa Bernabe Rosas: Registro de expediente | 🔴 28/10/2025 12:24 - Elisa Bernabe Rosas: 20401991 ECON | 🔴 28/10/2025 12:25 - Elisa Bernabe Rosas: Realizó modificación de costo de arrastre incrementando $408.00 (de $1,717.00 a $2,125.00) | 🔴 28/10/2025 14:15 - Elisa Bernabe Rosas: CANCELA NANCY AGUILERA NA ESTA  EN OTRA UBICACION 14 KM | 🔴 28/10/2025 14:15 - Elisa Bernabe Rosas: Realizó el servicio muerto | 🔴 28/10/2025 14:15 - Elisa Bernabe Rosas: Realizó modificación de costo de arrastre reduciendo $280.50 (de $1,487.50 a $1,207.00)</t>
  </si>
  <si>
    <t>NJS422B</t>
  </si>
  <si>
    <t>Caseta Carretera México-Pachuca, 55764 Ojo de Agua, Méx., México</t>
  </si>
  <si>
    <t>Providencia, Ciudad de México, CDMX</t>
  </si>
  <si>
    <t>🔴 28/10/2025 16:17 - Javier Alejandro Jimenez Avila: Registro de expediente | 🔴 28/10/2025 16:53 - Javier Alejandro Jimenez Avila: Se realizó el registro de tiempo de arribo | 🔴 28/10/2025 16:54 - Javier Alejandro Jimenez Avila: Realizó una modificación en el expediente | 🔴 28/10/2025 17:03 - Javier Alejandro Jimenez Avila: Se realizó el registro de tiempo de contacto | 🔴 28/10/2025 17:33 - Miguel Angel Flores Flores: Registró tiempo de término</t>
  </si>
  <si>
    <t xml:space="preserve"> MAPFRE AUTO/20406947 casetas</t>
  </si>
  <si>
    <t>plata</t>
  </si>
  <si>
    <t>PAL7905</t>
  </si>
  <si>
    <t>Cam. a San Martin S/N, Ejidos de Tecamac, 55748 San Martín Azcatepec, Méx., México</t>
  </si>
  <si>
    <t>Estado de Durango 24, Ejidos de Tecamac, 55748 San Martín Azcatepec, Méx., México</t>
  </si>
  <si>
    <t xml:space="preserve">ROGELIO CASTRO LOPEZ </t>
  </si>
  <si>
    <t>🔴 29/10/2025 21:47 - Sandra Paola Meneses Castillo: Registro de expediente | 🔴 29/10/2025 21:47 - Sandra Paola Meneses Castillo: Realizó una modificación en el expediente | 🔴 29/10/2025 21:50 - Sandra Paola Meneses Castillo: SE COMUNICA EDGAR SANCHZ PARA COMENTAR QUE LA LLANTA NO GIRA Y SE HACE EL COBRO DE LA MANIOBRAS DE 500+IVA  | 🔴 29/10/2025 21:53 - Sandra Paola Meneses Castillo: Realizó modificación de servicios adicionales incrementando $500.00 (de $1,615.00 a $2,115.00) - Rubros: Maniobras: $0.00 → $500.00 | 🔴 29/10/2025 21:53 - Sandra Paola Meneses Castillo: ECO MANIOBRA:20496958
 | 🔴 29/10/2025 22:24 - Jorge Alberto De La Vega Laguna: Se realizó el registro de tiempo de arribo | 🔴 29/10/2025 22:24 - Jorge Alberto De La Vega Laguna: Se realizó el registro de tiempo de contacto | 🔴 29/10/2025 22:54 - Edgar Gabriel Perez Trejo: Registró tiempo de término</t>
  </si>
  <si>
    <t>CLASICO</t>
  </si>
  <si>
    <t>dorado</t>
  </si>
  <si>
    <t>NYK128B</t>
  </si>
  <si>
    <t>Campo El Polvorín, Av. 5 de Mayo, Manzana 066, Atzacoalco, 54783 Teoloyucan, Méx., México</t>
  </si>
  <si>
    <t>Calle Emiliano Zapata 408, 10 de Junio, 54986 Santiago Teyahualco, Méx., México</t>
  </si>
  <si>
    <t>FLOR DE MARIA MEZA PAEZ</t>
  </si>
  <si>
    <t>🔴 29/10/2025 23:17 - Jorge Alberto De La Vega Laguna: Registro de expediente | 🔴 29/10/2025 23:17 - Jorge Alberto De La Vega Laguna: Reasignación de servicio: DE [Sin asignar] HACIA [Sin asignar] | 🔴 29/10/2025 23:17 - Jorge Alberto De La Vega Laguna: Realizó una modificación en el expediente | 🔴 29/10/2025 23:18 - Jorge Alberto De La Vega Laguna: Realizó modificación de costo de arrastre incrementando $2,762.50 (de $700.00 a $3,462.50) | 🔴 29/10/2025 23:25 - Jorge Alberto De La Vega Laguna:  GRUA / 20406982 eco casetas 20407000 | 🔴 30/10/2025 01:01 - Jorge Alberto De La Vega Laguna: Se realizó el registro de tiempo de arribo | 🔴 30/10/2025 01:01 - Jorge Alberto De La Vega Laguna: Se realizó el registro de tiempo de contacto | 🔴 30/10/2025 02:16 - Jesus Arturo Murguia Martinez: Registró tiempo de término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</si>
</sst>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44" fontId="0" fillId="2" borderId="1" xfId="1" applyFont="1" applyFill="1" applyBorder="1" applyAlignment="1">
      <alignment horizontal="center" vertical="center"/>
    </xf>
    <xf numFmtId="2" fontId="0" fillId="2" borderId="1" xfId="1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44" fontId="0" fillId="2" borderId="0" xfId="1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44" fontId="0" fillId="0" borderId="2" xfId="1" applyFont="1" applyBorder="1"/>
    <xf numFmtId="2" fontId="0" fillId="0" borderId="2" xfId="1" applyNumberFormat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1" xfId="1" applyFont="1" applyBorder="1"/>
    <xf numFmtId="164" fontId="0" fillId="0" borderId="2" xfId="0" applyNumberFormat="1" applyBorder="1"/>
    <xf numFmtId="165" fontId="0" fillId="0" borderId="2" xfId="0" applyNumberFormat="1" applyBorder="1" applyAlignment="1">
      <alignment horizontal="center" vertical="center"/>
    </xf>
    <xf numFmtId="44" fontId="0" fillId="0" borderId="0" xfId="1" applyFont="1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C43F-B341-4C00-A0B9-3F31FAD9E543}">
  <dimension ref="A1:CC63"/>
  <sheetViews>
    <sheetView tabSelected="1" workbookViewId="0">
      <selection activeCell="D9" sqref="D9"/>
    </sheetView>
  </sheetViews>
  <sheetFormatPr baseColWidth="10" defaultRowHeight="15" x14ac:dyDescent="0.25"/>
  <sheetData>
    <row r="1" spans="1:81" s="9" customFormat="1" ht="15" customHeight="1" x14ac:dyDescent="0.25">
      <c r="A1" s="1" t="s">
        <v>0</v>
      </c>
      <c r="B1" s="1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2" t="s">
        <v>12</v>
      </c>
      <c r="O1" s="2" t="s">
        <v>13</v>
      </c>
      <c r="P1" s="5" t="s">
        <v>14</v>
      </c>
      <c r="Q1" s="2" t="s">
        <v>15</v>
      </c>
      <c r="R1" s="2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5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6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7" t="s">
        <v>54</v>
      </c>
      <c r="BE1" s="1" t="s">
        <v>55</v>
      </c>
      <c r="BF1" s="2" t="s">
        <v>56</v>
      </c>
      <c r="BG1" s="5" t="s">
        <v>46</v>
      </c>
      <c r="BH1" s="6" t="s">
        <v>43</v>
      </c>
      <c r="BI1" s="5" t="s">
        <v>44</v>
      </c>
      <c r="BJ1" s="5" t="s">
        <v>57</v>
      </c>
      <c r="BK1" s="5" t="s">
        <v>47</v>
      </c>
      <c r="BL1" s="5" t="s">
        <v>48</v>
      </c>
      <c r="BM1" s="5" t="s">
        <v>49</v>
      </c>
      <c r="BN1" s="5" t="s">
        <v>50</v>
      </c>
      <c r="BO1" s="5" t="s">
        <v>58</v>
      </c>
      <c r="BP1" s="5" t="s">
        <v>59</v>
      </c>
      <c r="BQ1" s="5" t="s">
        <v>60</v>
      </c>
      <c r="BR1" s="5" t="s">
        <v>61</v>
      </c>
      <c r="BS1" s="5" t="s">
        <v>62</v>
      </c>
      <c r="BT1" s="2" t="s">
        <v>63</v>
      </c>
      <c r="BU1" s="2" t="s">
        <v>64</v>
      </c>
      <c r="BV1" s="2" t="s">
        <v>65</v>
      </c>
      <c r="BW1" s="2" t="s">
        <v>66</v>
      </c>
      <c r="BX1" s="7" t="s">
        <v>67</v>
      </c>
      <c r="BY1" s="2" t="s">
        <v>68</v>
      </c>
      <c r="BZ1" s="8"/>
      <c r="CC1" s="8"/>
    </row>
    <row r="2" spans="1:81" x14ac:dyDescent="0.25">
      <c r="A2" s="10">
        <v>56226</v>
      </c>
      <c r="B2" s="32">
        <v>56226</v>
      </c>
      <c r="C2" s="32"/>
      <c r="D2" t="s">
        <v>69</v>
      </c>
      <c r="E2" t="s">
        <v>70</v>
      </c>
      <c r="F2" t="s">
        <v>71</v>
      </c>
      <c r="G2" t="s">
        <v>54</v>
      </c>
      <c r="H2" t="s">
        <v>72</v>
      </c>
      <c r="I2" s="30">
        <v>125269306</v>
      </c>
      <c r="J2" s="11"/>
      <c r="K2" s="11"/>
      <c r="L2" s="11"/>
      <c r="M2" s="12">
        <v>0</v>
      </c>
      <c r="N2" s="11"/>
      <c r="O2" s="11"/>
      <c r="P2" s="12">
        <v>0</v>
      </c>
      <c r="Q2" s="11"/>
      <c r="R2" s="11"/>
      <c r="S2" s="12">
        <v>0</v>
      </c>
      <c r="T2" s="12"/>
      <c r="U2" s="12"/>
      <c r="V2" s="12">
        <v>0</v>
      </c>
      <c r="W2" s="12"/>
      <c r="X2" s="12"/>
      <c r="Y2" s="12">
        <v>0</v>
      </c>
      <c r="Z2" s="11" t="s">
        <v>73</v>
      </c>
      <c r="AA2" s="11">
        <v>2014</v>
      </c>
      <c r="AB2" s="11" t="s">
        <v>74</v>
      </c>
      <c r="AC2" s="11" t="s">
        <v>75</v>
      </c>
      <c r="AD2" s="11" t="s">
        <v>76</v>
      </c>
      <c r="AE2" s="11" t="s">
        <v>77</v>
      </c>
      <c r="AF2" s="11" t="s">
        <v>78</v>
      </c>
      <c r="AG2" s="11" t="s">
        <v>79</v>
      </c>
      <c r="AH2" s="11" t="s">
        <v>80</v>
      </c>
      <c r="AI2" s="11" t="s">
        <v>81</v>
      </c>
      <c r="AJ2" s="11" t="s">
        <v>82</v>
      </c>
      <c r="AK2" s="11" t="s">
        <v>83</v>
      </c>
      <c r="AL2" s="11" t="s">
        <v>84</v>
      </c>
      <c r="AM2" s="12">
        <v>0</v>
      </c>
      <c r="AN2" s="11" t="s">
        <v>85</v>
      </c>
      <c r="AO2" s="11" t="s">
        <v>86</v>
      </c>
      <c r="AP2" s="11" t="s">
        <v>87</v>
      </c>
      <c r="AQ2" s="11"/>
      <c r="AR2" s="11" t="s">
        <v>88</v>
      </c>
      <c r="AS2" s="13">
        <v>75</v>
      </c>
      <c r="AT2" s="12">
        <v>25.5</v>
      </c>
      <c r="AU2" s="12">
        <v>0</v>
      </c>
      <c r="AV2" s="12">
        <v>850</v>
      </c>
      <c r="AW2" s="12">
        <v>0</v>
      </c>
      <c r="AX2" s="12">
        <v>241.38</v>
      </c>
      <c r="AY2" s="12">
        <v>0</v>
      </c>
      <c r="AZ2" s="12">
        <v>500</v>
      </c>
      <c r="BA2" s="12">
        <v>2762.5</v>
      </c>
      <c r="BB2" s="12">
        <v>0</v>
      </c>
      <c r="BC2" s="12">
        <v>3503.88</v>
      </c>
      <c r="BD2" s="14"/>
      <c r="BE2" s="15">
        <f t="shared" ref="BE2" si="0">TRUNC(AO2)</f>
        <v>45931</v>
      </c>
      <c r="BF2" s="16">
        <f t="shared" ref="BF2" si="1">AO2-BE2</f>
        <v>0.83398148148262408</v>
      </c>
      <c r="BG2" s="17">
        <f t="shared" ref="BG2" si="2">AV2</f>
        <v>850</v>
      </c>
      <c r="BH2" s="18">
        <f t="shared" ref="BH2:BI2" si="3">AS2</f>
        <v>75</v>
      </c>
      <c r="BI2" s="19">
        <f t="shared" si="3"/>
        <v>25.5</v>
      </c>
      <c r="BJ2" s="17">
        <f t="shared" ref="BJ2" si="4">BI2*BH2+BG2</f>
        <v>2762.5</v>
      </c>
      <c r="BK2" s="17">
        <f t="shared" ref="BK2:BN2" si="5">AW2</f>
        <v>0</v>
      </c>
      <c r="BL2" s="17">
        <f t="shared" si="5"/>
        <v>241.38</v>
      </c>
      <c r="BM2" s="17">
        <f t="shared" si="5"/>
        <v>0</v>
      </c>
      <c r="BN2" s="17">
        <f t="shared" si="5"/>
        <v>500</v>
      </c>
      <c r="BO2" s="17">
        <f t="shared" ref="BO2" si="6">BB2</f>
        <v>0</v>
      </c>
      <c r="BP2" s="17">
        <f t="shared" ref="BP2" si="7">AM2</f>
        <v>0</v>
      </c>
      <c r="BQ2" s="20">
        <f t="shared" ref="BQ2" si="8">+BJ2+BK2+BL2+BM2+BN2+BO2-BP2</f>
        <v>3503.88</v>
      </c>
      <c r="BR2" s="17">
        <f t="shared" ref="BR2" si="9">+BQ2*0.16</f>
        <v>560.62080000000003</v>
      </c>
      <c r="BS2" s="17">
        <f t="shared" ref="BS2" si="10">BQ2+BR2</f>
        <v>4064.5008000000003</v>
      </c>
      <c r="BT2" s="21">
        <f t="shared" ref="BT2" si="11">+BQ2*0.04</f>
        <v>140.15520000000001</v>
      </c>
      <c r="BU2" s="21">
        <f t="shared" ref="BU2" si="12">BQ2+BR2-BT2</f>
        <v>3924.3456000000001</v>
      </c>
      <c r="BV2" s="21">
        <f t="shared" ref="BV2" si="13">BP2*1.16</f>
        <v>0</v>
      </c>
      <c r="BW2" s="21">
        <f t="shared" ref="BW2" si="14">+BU2+BV2</f>
        <v>3924.3456000000001</v>
      </c>
      <c r="BX2" s="22">
        <f t="shared" ref="BX2" si="15">M2+P2+S2+V2+Y2</f>
        <v>0</v>
      </c>
      <c r="BY2" s="21">
        <f t="shared" ref="BY2" si="16">BQ2-BX2</f>
        <v>3503.88</v>
      </c>
      <c r="BZ2" s="23"/>
      <c r="CC2" s="23"/>
    </row>
    <row r="3" spans="1:81" x14ac:dyDescent="0.25">
      <c r="A3" s="10">
        <v>56249</v>
      </c>
      <c r="B3" s="32">
        <v>56249</v>
      </c>
      <c r="C3" s="32"/>
      <c r="D3" t="s">
        <v>69</v>
      </c>
      <c r="E3" t="s">
        <v>89</v>
      </c>
      <c r="F3" t="s">
        <v>71</v>
      </c>
      <c r="G3" t="s">
        <v>54</v>
      </c>
      <c r="H3" t="s">
        <v>88</v>
      </c>
      <c r="I3" s="30">
        <v>125269672</v>
      </c>
      <c r="J3" s="11"/>
      <c r="K3" s="11"/>
      <c r="L3" s="11"/>
      <c r="M3" s="12">
        <v>0</v>
      </c>
      <c r="N3" s="11"/>
      <c r="O3" s="11"/>
      <c r="P3" s="12">
        <v>0</v>
      </c>
      <c r="Q3" s="11"/>
      <c r="R3" s="11"/>
      <c r="S3" s="12">
        <v>0</v>
      </c>
      <c r="T3" s="12"/>
      <c r="U3" s="12"/>
      <c r="V3" s="12">
        <v>0</v>
      </c>
      <c r="W3" s="12"/>
      <c r="X3" s="12"/>
      <c r="Y3" s="12">
        <v>0</v>
      </c>
      <c r="Z3" s="11" t="s">
        <v>90</v>
      </c>
      <c r="AA3" s="11">
        <v>2024</v>
      </c>
      <c r="AB3" s="11" t="s">
        <v>91</v>
      </c>
      <c r="AC3" s="11" t="s">
        <v>92</v>
      </c>
      <c r="AD3" s="11" t="s">
        <v>93</v>
      </c>
      <c r="AE3" s="11" t="s">
        <v>94</v>
      </c>
      <c r="AF3" s="11" t="s">
        <v>95</v>
      </c>
      <c r="AG3" s="11" t="s">
        <v>96</v>
      </c>
      <c r="AH3" s="11" t="s">
        <v>97</v>
      </c>
      <c r="AI3" s="11" t="s">
        <v>98</v>
      </c>
      <c r="AJ3" s="11" t="s">
        <v>99</v>
      </c>
      <c r="AK3" s="11" t="s">
        <v>100</v>
      </c>
      <c r="AL3" s="11" t="s">
        <v>84</v>
      </c>
      <c r="AM3" s="12">
        <v>0</v>
      </c>
      <c r="AN3" s="11" t="s">
        <v>101</v>
      </c>
      <c r="AO3" s="11" t="s">
        <v>102</v>
      </c>
      <c r="AP3" s="11" t="s">
        <v>103</v>
      </c>
      <c r="AQ3" s="11"/>
      <c r="AR3" s="11" t="s">
        <v>88</v>
      </c>
      <c r="AS3" s="13">
        <v>15</v>
      </c>
      <c r="AT3" s="12">
        <v>25.5</v>
      </c>
      <c r="AU3" s="12">
        <v>0</v>
      </c>
      <c r="AV3" s="12">
        <v>850</v>
      </c>
      <c r="AW3" s="12">
        <v>0</v>
      </c>
      <c r="AX3" s="12">
        <v>0</v>
      </c>
      <c r="AY3" s="12">
        <v>0</v>
      </c>
      <c r="AZ3" s="12">
        <v>0</v>
      </c>
      <c r="BA3" s="12">
        <v>1232.5</v>
      </c>
      <c r="BB3" s="12">
        <v>0</v>
      </c>
      <c r="BC3" s="12">
        <v>1232.5</v>
      </c>
      <c r="BD3" s="14"/>
      <c r="BE3" s="15">
        <f t="shared" ref="BE3:BE63" si="17">TRUNC(AO3)</f>
        <v>45932</v>
      </c>
      <c r="BF3" s="16">
        <f t="shared" ref="BF3:BF63" si="18">AO3-BE3</f>
        <v>0.33747685185517184</v>
      </c>
      <c r="BG3" s="17">
        <f t="shared" ref="BG3:BG63" si="19">AV3</f>
        <v>850</v>
      </c>
      <c r="BH3" s="18">
        <f t="shared" ref="BH3:BH63" si="20">AS3</f>
        <v>15</v>
      </c>
      <c r="BI3" s="19">
        <f t="shared" ref="BI3:BI63" si="21">AT3</f>
        <v>25.5</v>
      </c>
      <c r="BJ3" s="17">
        <f t="shared" ref="BJ3:BJ63" si="22">BI3*BH3+BG3</f>
        <v>1232.5</v>
      </c>
      <c r="BK3" s="17">
        <f t="shared" ref="BK3:BK63" si="23">AW3</f>
        <v>0</v>
      </c>
      <c r="BL3" s="17">
        <f t="shared" ref="BL3:BL63" si="24">AX3</f>
        <v>0</v>
      </c>
      <c r="BM3" s="17">
        <f t="shared" ref="BM3:BM63" si="25">AY3</f>
        <v>0</v>
      </c>
      <c r="BN3" s="17">
        <f t="shared" ref="BN3:BN63" si="26">AZ3</f>
        <v>0</v>
      </c>
      <c r="BO3" s="17">
        <f t="shared" ref="BO3:BO63" si="27">BB3</f>
        <v>0</v>
      </c>
      <c r="BP3" s="17">
        <f t="shared" ref="BP3:BP63" si="28">AM3</f>
        <v>0</v>
      </c>
      <c r="BQ3" s="20">
        <f t="shared" ref="BQ3:BQ63" si="29">+BJ3+BK3+BL3+BM3+BN3+BO3-BP3</f>
        <v>1232.5</v>
      </c>
      <c r="BR3" s="17">
        <f t="shared" ref="BR3:BR63" si="30">+BQ3*0.16</f>
        <v>197.20000000000002</v>
      </c>
      <c r="BS3" s="17">
        <f t="shared" ref="BS3:BS63" si="31">BQ3+BR3</f>
        <v>1429.7</v>
      </c>
      <c r="BT3" s="21">
        <f t="shared" ref="BT3:BT63" si="32">+BQ3*0.04</f>
        <v>49.300000000000004</v>
      </c>
      <c r="BU3" s="21">
        <f t="shared" ref="BU3:BU63" si="33">BQ3+BR3-BT3</f>
        <v>1380.4</v>
      </c>
      <c r="BV3" s="21">
        <f t="shared" ref="BV3:BV63" si="34">BP3*1.16</f>
        <v>0</v>
      </c>
      <c r="BW3" s="21">
        <f t="shared" ref="BW3:BW63" si="35">+BU3+BV3</f>
        <v>1380.4</v>
      </c>
      <c r="BX3" s="22">
        <f t="shared" ref="BX3:BX63" si="36">M3+P3+S3+V3+Y3</f>
        <v>0</v>
      </c>
      <c r="BY3" s="21">
        <f t="shared" ref="BY3:BY63" si="37">BQ3-BX3</f>
        <v>1232.5</v>
      </c>
      <c r="BZ3" s="23"/>
      <c r="CC3" s="23"/>
    </row>
    <row r="4" spans="1:81" x14ac:dyDescent="0.25">
      <c r="A4" s="10">
        <v>56298</v>
      </c>
      <c r="B4" s="32">
        <v>56298</v>
      </c>
      <c r="C4" s="32"/>
      <c r="D4" t="s">
        <v>69</v>
      </c>
      <c r="E4" t="s">
        <v>70</v>
      </c>
      <c r="F4" t="s">
        <v>71</v>
      </c>
      <c r="G4" t="s">
        <v>54</v>
      </c>
      <c r="H4" t="s">
        <v>88</v>
      </c>
      <c r="I4" s="30">
        <v>125270585</v>
      </c>
      <c r="J4" s="11"/>
      <c r="K4" s="11"/>
      <c r="L4" s="11"/>
      <c r="M4" s="12">
        <v>0</v>
      </c>
      <c r="N4" s="11"/>
      <c r="O4" s="11"/>
      <c r="P4" s="12">
        <v>0</v>
      </c>
      <c r="Q4" s="11"/>
      <c r="R4" s="11"/>
      <c r="S4" s="12">
        <v>0</v>
      </c>
      <c r="T4" s="12"/>
      <c r="U4" s="12"/>
      <c r="V4" s="12">
        <v>0</v>
      </c>
      <c r="W4" s="12"/>
      <c r="X4" s="12"/>
      <c r="Y4" s="12">
        <v>0</v>
      </c>
      <c r="Z4" s="11" t="s">
        <v>104</v>
      </c>
      <c r="AA4" s="11">
        <v>2016</v>
      </c>
      <c r="AB4" s="11" t="s">
        <v>91</v>
      </c>
      <c r="AC4" s="11" t="s">
        <v>105</v>
      </c>
      <c r="AD4" s="11" t="s">
        <v>106</v>
      </c>
      <c r="AE4" s="11" t="s">
        <v>107</v>
      </c>
      <c r="AF4" s="11" t="s">
        <v>108</v>
      </c>
      <c r="AG4" s="11" t="s">
        <v>108</v>
      </c>
      <c r="AH4" s="11" t="s">
        <v>109</v>
      </c>
      <c r="AI4" s="11" t="s">
        <v>110</v>
      </c>
      <c r="AJ4" s="11" t="s">
        <v>111</v>
      </c>
      <c r="AK4" s="11" t="s">
        <v>112</v>
      </c>
      <c r="AL4" s="11" t="s">
        <v>84</v>
      </c>
      <c r="AM4" s="12">
        <v>0</v>
      </c>
      <c r="AN4" s="11" t="s">
        <v>113</v>
      </c>
      <c r="AO4" s="11" t="s">
        <v>114</v>
      </c>
      <c r="AP4" s="11" t="s">
        <v>115</v>
      </c>
      <c r="AQ4" s="11"/>
      <c r="AR4" s="11" t="s">
        <v>88</v>
      </c>
      <c r="AS4" s="13">
        <v>85</v>
      </c>
      <c r="AT4" s="12">
        <v>25.5</v>
      </c>
      <c r="AU4" s="12">
        <v>0</v>
      </c>
      <c r="AV4" s="12">
        <v>850</v>
      </c>
      <c r="AW4" s="12">
        <v>0</v>
      </c>
      <c r="AX4" s="12">
        <v>290</v>
      </c>
      <c r="AY4" s="12">
        <v>0</v>
      </c>
      <c r="AZ4" s="12">
        <v>0</v>
      </c>
      <c r="BA4" s="12">
        <v>3017.5</v>
      </c>
      <c r="BB4" s="12">
        <v>1000</v>
      </c>
      <c r="BC4" s="12">
        <v>4650</v>
      </c>
      <c r="BD4" s="14"/>
      <c r="BE4" s="15">
        <f t="shared" si="17"/>
        <v>45932</v>
      </c>
      <c r="BF4" s="16">
        <f t="shared" si="18"/>
        <v>0.97981481481838273</v>
      </c>
      <c r="BG4" s="17">
        <f t="shared" si="19"/>
        <v>850</v>
      </c>
      <c r="BH4" s="18">
        <f t="shared" si="20"/>
        <v>85</v>
      </c>
      <c r="BI4" s="19">
        <f t="shared" si="21"/>
        <v>25.5</v>
      </c>
      <c r="BJ4" s="17">
        <f t="shared" si="22"/>
        <v>3017.5</v>
      </c>
      <c r="BK4" s="17">
        <f t="shared" si="23"/>
        <v>0</v>
      </c>
      <c r="BL4" s="17">
        <f t="shared" si="24"/>
        <v>290</v>
      </c>
      <c r="BM4" s="17">
        <f t="shared" si="25"/>
        <v>0</v>
      </c>
      <c r="BN4" s="17">
        <f t="shared" si="26"/>
        <v>0</v>
      </c>
      <c r="BO4" s="17">
        <f t="shared" si="27"/>
        <v>1000</v>
      </c>
      <c r="BP4" s="17">
        <f t="shared" si="28"/>
        <v>0</v>
      </c>
      <c r="BQ4" s="20">
        <f t="shared" si="29"/>
        <v>4307.5</v>
      </c>
      <c r="BR4" s="17">
        <f t="shared" si="30"/>
        <v>689.2</v>
      </c>
      <c r="BS4" s="17">
        <f t="shared" si="31"/>
        <v>4996.7</v>
      </c>
      <c r="BT4" s="21">
        <f t="shared" si="32"/>
        <v>172.3</v>
      </c>
      <c r="BU4" s="21">
        <f t="shared" si="33"/>
        <v>4824.3999999999996</v>
      </c>
      <c r="BV4" s="21">
        <f t="shared" si="34"/>
        <v>0</v>
      </c>
      <c r="BW4" s="21">
        <f t="shared" si="35"/>
        <v>4824.3999999999996</v>
      </c>
      <c r="BX4" s="22">
        <f t="shared" si="36"/>
        <v>0</v>
      </c>
      <c r="BY4" s="21">
        <f t="shared" si="37"/>
        <v>4307.5</v>
      </c>
      <c r="BZ4" s="23"/>
      <c r="CC4" s="23"/>
    </row>
    <row r="5" spans="1:81" x14ac:dyDescent="0.25">
      <c r="A5" s="10">
        <v>56303</v>
      </c>
      <c r="B5" s="32">
        <v>56303</v>
      </c>
      <c r="C5" s="32"/>
      <c r="D5" t="s">
        <v>69</v>
      </c>
      <c r="E5" t="s">
        <v>70</v>
      </c>
      <c r="F5" t="s">
        <v>71</v>
      </c>
      <c r="G5" t="s">
        <v>54</v>
      </c>
      <c r="H5" t="s">
        <v>88</v>
      </c>
      <c r="I5" s="30">
        <v>125270585</v>
      </c>
      <c r="J5" s="11"/>
      <c r="K5" s="11"/>
      <c r="L5" s="11" t="s">
        <v>116</v>
      </c>
      <c r="M5" s="12">
        <v>0</v>
      </c>
      <c r="N5" s="11"/>
      <c r="O5" s="11"/>
      <c r="P5" s="12">
        <v>0</v>
      </c>
      <c r="Q5" s="11"/>
      <c r="R5" s="11"/>
      <c r="S5" s="12">
        <v>0</v>
      </c>
      <c r="T5" s="12"/>
      <c r="U5" s="12"/>
      <c r="V5" s="12">
        <v>0</v>
      </c>
      <c r="W5" s="12"/>
      <c r="X5" s="12"/>
      <c r="Y5" s="12">
        <v>0</v>
      </c>
      <c r="Z5" s="11" t="s">
        <v>104</v>
      </c>
      <c r="AA5" s="11">
        <v>2016</v>
      </c>
      <c r="AB5" s="11" t="s">
        <v>91</v>
      </c>
      <c r="AC5" s="11" t="s">
        <v>105</v>
      </c>
      <c r="AD5" s="11" t="s">
        <v>106</v>
      </c>
      <c r="AE5" s="11" t="s">
        <v>107</v>
      </c>
      <c r="AF5" s="11" t="s">
        <v>108</v>
      </c>
      <c r="AG5" s="11" t="s">
        <v>108</v>
      </c>
      <c r="AH5" s="11" t="s">
        <v>117</v>
      </c>
      <c r="AI5" s="11" t="s">
        <v>110</v>
      </c>
      <c r="AJ5" s="11" t="s">
        <v>111</v>
      </c>
      <c r="AK5" s="11" t="s">
        <v>112</v>
      </c>
      <c r="AL5" s="11" t="s">
        <v>84</v>
      </c>
      <c r="AM5" s="12">
        <v>0</v>
      </c>
      <c r="AN5" s="11" t="s">
        <v>113</v>
      </c>
      <c r="AO5" s="11" t="s">
        <v>118</v>
      </c>
      <c r="AP5" s="11" t="s">
        <v>115</v>
      </c>
      <c r="AQ5" s="11"/>
      <c r="AR5" s="11" t="s">
        <v>88</v>
      </c>
      <c r="AS5" s="13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4"/>
      <c r="BE5" s="15">
        <f t="shared" si="17"/>
        <v>45933</v>
      </c>
      <c r="BF5" s="16">
        <f t="shared" si="18"/>
        <v>4.8726851819083095E-3</v>
      </c>
      <c r="BG5" s="17">
        <f t="shared" si="19"/>
        <v>0</v>
      </c>
      <c r="BH5" s="18">
        <f t="shared" si="20"/>
        <v>0</v>
      </c>
      <c r="BI5" s="19">
        <f t="shared" si="21"/>
        <v>0</v>
      </c>
      <c r="BJ5" s="17">
        <f t="shared" si="22"/>
        <v>0</v>
      </c>
      <c r="BK5" s="17">
        <f t="shared" si="23"/>
        <v>0</v>
      </c>
      <c r="BL5" s="17">
        <f t="shared" si="24"/>
        <v>0</v>
      </c>
      <c r="BM5" s="17">
        <f t="shared" si="25"/>
        <v>0</v>
      </c>
      <c r="BN5" s="17">
        <f t="shared" si="26"/>
        <v>0</v>
      </c>
      <c r="BO5" s="17">
        <f t="shared" si="27"/>
        <v>0</v>
      </c>
      <c r="BP5" s="17">
        <f t="shared" si="28"/>
        <v>0</v>
      </c>
      <c r="BQ5" s="20">
        <f t="shared" si="29"/>
        <v>0</v>
      </c>
      <c r="BR5" s="17">
        <f t="shared" si="30"/>
        <v>0</v>
      </c>
      <c r="BS5" s="17">
        <f t="shared" si="31"/>
        <v>0</v>
      </c>
      <c r="BT5" s="21">
        <f t="shared" si="32"/>
        <v>0</v>
      </c>
      <c r="BU5" s="21">
        <f t="shared" si="33"/>
        <v>0</v>
      </c>
      <c r="BV5" s="21">
        <f t="shared" si="34"/>
        <v>0</v>
      </c>
      <c r="BW5" s="21">
        <f t="shared" si="35"/>
        <v>0</v>
      </c>
      <c r="BX5" s="22">
        <f t="shared" si="36"/>
        <v>0</v>
      </c>
      <c r="BY5" s="21">
        <f t="shared" si="37"/>
        <v>0</v>
      </c>
      <c r="BZ5" s="23"/>
      <c r="CC5" s="23"/>
    </row>
    <row r="6" spans="1:81" x14ac:dyDescent="0.25">
      <c r="A6" s="11">
        <v>56347</v>
      </c>
      <c r="B6" s="32">
        <v>56347</v>
      </c>
      <c r="C6" s="32"/>
      <c r="D6" t="s">
        <v>69</v>
      </c>
      <c r="E6" t="s">
        <v>70</v>
      </c>
      <c r="F6" t="s">
        <v>71</v>
      </c>
      <c r="G6" t="s">
        <v>54</v>
      </c>
      <c r="H6" t="s">
        <v>72</v>
      </c>
      <c r="I6" s="30">
        <v>125271453</v>
      </c>
      <c r="J6" s="11"/>
      <c r="K6" s="11"/>
      <c r="L6" s="11"/>
      <c r="M6" s="12">
        <v>0</v>
      </c>
      <c r="N6" s="11"/>
      <c r="O6" s="11"/>
      <c r="P6" s="12">
        <v>0</v>
      </c>
      <c r="Q6" s="11"/>
      <c r="R6" s="11"/>
      <c r="S6" s="12">
        <v>0</v>
      </c>
      <c r="T6" s="12"/>
      <c r="U6" s="12"/>
      <c r="V6" s="12">
        <v>0</v>
      </c>
      <c r="W6" s="12"/>
      <c r="X6" s="12"/>
      <c r="Y6" s="12">
        <v>0</v>
      </c>
      <c r="Z6" s="11" t="s">
        <v>119</v>
      </c>
      <c r="AA6" s="11">
        <v>2001</v>
      </c>
      <c r="AB6" s="11" t="s">
        <v>120</v>
      </c>
      <c r="AC6" s="11" t="s">
        <v>121</v>
      </c>
      <c r="AD6" s="11" t="s">
        <v>122</v>
      </c>
      <c r="AE6" s="11" t="s">
        <v>123</v>
      </c>
      <c r="AF6" s="11" t="s">
        <v>124</v>
      </c>
      <c r="AG6" s="11" t="s">
        <v>125</v>
      </c>
      <c r="AH6" s="11" t="s">
        <v>126</v>
      </c>
      <c r="AI6" s="11" t="s">
        <v>127</v>
      </c>
      <c r="AJ6" s="11" t="s">
        <v>111</v>
      </c>
      <c r="AK6" s="11" t="s">
        <v>100</v>
      </c>
      <c r="AL6" s="11" t="s">
        <v>84</v>
      </c>
      <c r="AM6" s="12">
        <v>0</v>
      </c>
      <c r="AN6" s="11" t="s">
        <v>128</v>
      </c>
      <c r="AO6" s="11" t="s">
        <v>129</v>
      </c>
      <c r="AP6" s="11" t="s">
        <v>130</v>
      </c>
      <c r="AQ6" s="11"/>
      <c r="AR6" s="11" t="s">
        <v>88</v>
      </c>
      <c r="AS6" s="13">
        <v>0</v>
      </c>
      <c r="AT6" s="12">
        <v>0</v>
      </c>
      <c r="AU6" s="12">
        <v>0</v>
      </c>
      <c r="AV6" s="12">
        <v>650</v>
      </c>
      <c r="AW6" s="12">
        <v>0</v>
      </c>
      <c r="AX6" s="12">
        <v>0</v>
      </c>
      <c r="AY6" s="12">
        <v>0</v>
      </c>
      <c r="AZ6" s="12">
        <v>1200</v>
      </c>
      <c r="BA6" s="12">
        <v>0</v>
      </c>
      <c r="BB6" s="12">
        <v>0</v>
      </c>
      <c r="BC6" s="12">
        <v>1850</v>
      </c>
      <c r="BD6" s="14"/>
      <c r="BE6" s="15">
        <f t="shared" si="17"/>
        <v>45933</v>
      </c>
      <c r="BF6" s="16">
        <f t="shared" si="18"/>
        <v>0.82474537037342088</v>
      </c>
      <c r="BG6" s="17">
        <f t="shared" si="19"/>
        <v>650</v>
      </c>
      <c r="BH6" s="18">
        <f t="shared" si="20"/>
        <v>0</v>
      </c>
      <c r="BI6" s="19">
        <f t="shared" si="21"/>
        <v>0</v>
      </c>
      <c r="BJ6" s="17">
        <f t="shared" si="22"/>
        <v>650</v>
      </c>
      <c r="BK6" s="17">
        <f t="shared" si="23"/>
        <v>0</v>
      </c>
      <c r="BL6" s="17">
        <f t="shared" si="24"/>
        <v>0</v>
      </c>
      <c r="BM6" s="17">
        <f t="shared" si="25"/>
        <v>0</v>
      </c>
      <c r="BN6" s="17">
        <f t="shared" si="26"/>
        <v>1200</v>
      </c>
      <c r="BO6" s="17">
        <f t="shared" si="27"/>
        <v>0</v>
      </c>
      <c r="BP6" s="17">
        <f t="shared" si="28"/>
        <v>0</v>
      </c>
      <c r="BQ6" s="20">
        <f t="shared" si="29"/>
        <v>1850</v>
      </c>
      <c r="BR6" s="17">
        <f t="shared" si="30"/>
        <v>296</v>
      </c>
      <c r="BS6" s="17">
        <f t="shared" si="31"/>
        <v>2146</v>
      </c>
      <c r="BT6" s="21">
        <f t="shared" si="32"/>
        <v>74</v>
      </c>
      <c r="BU6" s="21">
        <f t="shared" si="33"/>
        <v>2072</v>
      </c>
      <c r="BV6" s="21">
        <f t="shared" si="34"/>
        <v>0</v>
      </c>
      <c r="BW6" s="21">
        <f t="shared" si="35"/>
        <v>2072</v>
      </c>
      <c r="BX6" s="22">
        <f t="shared" si="36"/>
        <v>0</v>
      </c>
      <c r="BY6" s="21">
        <f t="shared" si="37"/>
        <v>1850</v>
      </c>
      <c r="BZ6" s="23"/>
      <c r="CC6" s="23"/>
    </row>
    <row r="7" spans="1:81" x14ac:dyDescent="0.25">
      <c r="A7" s="10">
        <v>56361</v>
      </c>
      <c r="B7" s="32">
        <v>56361</v>
      </c>
      <c r="C7" s="32"/>
      <c r="D7" t="s">
        <v>69</v>
      </c>
      <c r="E7" t="s">
        <v>70</v>
      </c>
      <c r="F7" t="s">
        <v>71</v>
      </c>
      <c r="G7" t="s">
        <v>54</v>
      </c>
      <c r="H7" t="s">
        <v>88</v>
      </c>
      <c r="I7" s="30">
        <v>125271669</v>
      </c>
      <c r="J7" s="11"/>
      <c r="K7" s="11"/>
      <c r="L7" s="11"/>
      <c r="M7" s="12">
        <v>0</v>
      </c>
      <c r="N7" s="11"/>
      <c r="O7" s="11"/>
      <c r="P7" s="12">
        <v>0</v>
      </c>
      <c r="Q7" s="11"/>
      <c r="R7" s="11"/>
      <c r="S7" s="12">
        <v>0</v>
      </c>
      <c r="T7" s="12"/>
      <c r="U7" s="12"/>
      <c r="V7" s="12">
        <v>0</v>
      </c>
      <c r="W7" s="12"/>
      <c r="X7" s="12"/>
      <c r="Y7" s="12">
        <v>0</v>
      </c>
      <c r="Z7" s="11" t="s">
        <v>131</v>
      </c>
      <c r="AA7" s="11">
        <v>2001</v>
      </c>
      <c r="AB7" s="11" t="s">
        <v>132</v>
      </c>
      <c r="AC7" s="11" t="s">
        <v>133</v>
      </c>
      <c r="AD7" s="11" t="s">
        <v>134</v>
      </c>
      <c r="AE7" s="11" t="s">
        <v>135</v>
      </c>
      <c r="AF7" s="11" t="s">
        <v>78</v>
      </c>
      <c r="AG7" s="11" t="s">
        <v>136</v>
      </c>
      <c r="AH7" s="11" t="s">
        <v>137</v>
      </c>
      <c r="AI7" s="11" t="s">
        <v>98</v>
      </c>
      <c r="AJ7" s="11" t="s">
        <v>99</v>
      </c>
      <c r="AK7" s="11" t="s">
        <v>100</v>
      </c>
      <c r="AL7" s="11" t="s">
        <v>84</v>
      </c>
      <c r="AM7" s="12">
        <v>0</v>
      </c>
      <c r="AN7" s="11" t="s">
        <v>138</v>
      </c>
      <c r="AO7" s="11" t="s">
        <v>139</v>
      </c>
      <c r="AP7" s="11" t="s">
        <v>140</v>
      </c>
      <c r="AQ7" s="11"/>
      <c r="AR7" s="11" t="s">
        <v>88</v>
      </c>
      <c r="AS7" s="13">
        <v>45</v>
      </c>
      <c r="AT7" s="12">
        <v>25.5</v>
      </c>
      <c r="AU7" s="12">
        <v>0</v>
      </c>
      <c r="AV7" s="12">
        <v>850</v>
      </c>
      <c r="AW7" s="12">
        <v>0</v>
      </c>
      <c r="AX7" s="12">
        <v>250</v>
      </c>
      <c r="AY7" s="12">
        <v>0</v>
      </c>
      <c r="AZ7" s="12">
        <v>0</v>
      </c>
      <c r="BA7" s="12">
        <v>1997.5</v>
      </c>
      <c r="BB7" s="12">
        <v>1000</v>
      </c>
      <c r="BC7" s="12">
        <v>3247.5</v>
      </c>
      <c r="BD7" s="14"/>
      <c r="BE7" s="15">
        <f t="shared" si="17"/>
        <v>45934</v>
      </c>
      <c r="BF7" s="16">
        <f t="shared" si="18"/>
        <v>5.1956018520286307E-2</v>
      </c>
      <c r="BG7" s="17">
        <f t="shared" si="19"/>
        <v>850</v>
      </c>
      <c r="BH7" s="18">
        <f t="shared" si="20"/>
        <v>45</v>
      </c>
      <c r="BI7" s="19">
        <f t="shared" si="21"/>
        <v>25.5</v>
      </c>
      <c r="BJ7" s="17">
        <f t="shared" si="22"/>
        <v>1997.5</v>
      </c>
      <c r="BK7" s="17">
        <f t="shared" si="23"/>
        <v>0</v>
      </c>
      <c r="BL7" s="17">
        <f t="shared" si="24"/>
        <v>250</v>
      </c>
      <c r="BM7" s="17">
        <f t="shared" si="25"/>
        <v>0</v>
      </c>
      <c r="BN7" s="17">
        <f t="shared" si="26"/>
        <v>0</v>
      </c>
      <c r="BO7" s="17">
        <f t="shared" si="27"/>
        <v>1000</v>
      </c>
      <c r="BP7" s="17">
        <f t="shared" si="28"/>
        <v>0</v>
      </c>
      <c r="BQ7" s="20">
        <f t="shared" si="29"/>
        <v>3247.5</v>
      </c>
      <c r="BR7" s="17">
        <f t="shared" si="30"/>
        <v>519.6</v>
      </c>
      <c r="BS7" s="17">
        <f t="shared" si="31"/>
        <v>3767.1</v>
      </c>
      <c r="BT7" s="21">
        <f t="shared" si="32"/>
        <v>129.9</v>
      </c>
      <c r="BU7" s="21">
        <f t="shared" si="33"/>
        <v>3637.2</v>
      </c>
      <c r="BV7" s="21">
        <f t="shared" si="34"/>
        <v>0</v>
      </c>
      <c r="BW7" s="21">
        <f t="shared" si="35"/>
        <v>3637.2</v>
      </c>
      <c r="BX7" s="22">
        <f t="shared" si="36"/>
        <v>0</v>
      </c>
      <c r="BY7" s="21">
        <f t="shared" si="37"/>
        <v>3247.5</v>
      </c>
      <c r="BZ7" s="23"/>
      <c r="CC7" s="23"/>
    </row>
    <row r="8" spans="1:81" x14ac:dyDescent="0.25">
      <c r="A8" s="11">
        <v>56402</v>
      </c>
      <c r="B8" s="32">
        <v>56402</v>
      </c>
      <c r="C8" s="32"/>
      <c r="D8" t="s">
        <v>69</v>
      </c>
      <c r="E8" t="s">
        <v>141</v>
      </c>
      <c r="F8" t="s">
        <v>142</v>
      </c>
      <c r="G8" t="s">
        <v>143</v>
      </c>
      <c r="I8" s="30">
        <v>125271942</v>
      </c>
      <c r="J8" s="11"/>
      <c r="K8" s="11"/>
      <c r="L8" s="11"/>
      <c r="M8" s="12">
        <v>0</v>
      </c>
      <c r="N8" s="11"/>
      <c r="O8" s="11"/>
      <c r="P8" s="12">
        <v>0</v>
      </c>
      <c r="Q8" s="11"/>
      <c r="R8" s="11"/>
      <c r="S8" s="12">
        <v>0</v>
      </c>
      <c r="T8" s="12"/>
      <c r="U8" s="12"/>
      <c r="V8" s="12">
        <v>0</v>
      </c>
      <c r="W8" s="12"/>
      <c r="X8" s="12"/>
      <c r="Y8" s="12">
        <v>0</v>
      </c>
      <c r="Z8" s="11" t="s">
        <v>144</v>
      </c>
      <c r="AA8" s="11">
        <v>2017</v>
      </c>
      <c r="AB8" s="11" t="s">
        <v>132</v>
      </c>
      <c r="AC8" s="11" t="s">
        <v>145</v>
      </c>
      <c r="AD8" s="11" t="s">
        <v>146</v>
      </c>
      <c r="AE8" s="11" t="s">
        <v>147</v>
      </c>
      <c r="AF8" s="11" t="s">
        <v>78</v>
      </c>
      <c r="AG8" s="11" t="s">
        <v>148</v>
      </c>
      <c r="AH8" s="11" t="s">
        <v>126</v>
      </c>
      <c r="AI8" s="11" t="s">
        <v>127</v>
      </c>
      <c r="AJ8" s="24" t="s">
        <v>149</v>
      </c>
      <c r="AK8" s="11"/>
      <c r="AL8" s="11" t="s">
        <v>84</v>
      </c>
      <c r="AM8" s="12">
        <v>0</v>
      </c>
      <c r="AN8" s="11" t="s">
        <v>150</v>
      </c>
      <c r="AO8" s="11" t="s">
        <v>151</v>
      </c>
      <c r="AP8" s="11" t="s">
        <v>152</v>
      </c>
      <c r="AQ8" s="11"/>
      <c r="AR8" s="24" t="s">
        <v>153</v>
      </c>
      <c r="AS8" s="13">
        <v>57</v>
      </c>
      <c r="AT8" s="12">
        <v>25.5</v>
      </c>
      <c r="AU8" s="12">
        <v>0</v>
      </c>
      <c r="AV8" s="12">
        <v>850</v>
      </c>
      <c r="AW8" s="12">
        <v>0</v>
      </c>
      <c r="AX8" s="12">
        <v>400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4"/>
      <c r="BE8" s="15">
        <f t="shared" si="17"/>
        <v>45934</v>
      </c>
      <c r="BF8" s="16">
        <f t="shared" si="18"/>
        <v>0.57348379629547708</v>
      </c>
      <c r="BG8" s="17">
        <f t="shared" si="19"/>
        <v>850</v>
      </c>
      <c r="BH8" s="18">
        <f t="shared" si="20"/>
        <v>57</v>
      </c>
      <c r="BI8" s="19">
        <f t="shared" si="21"/>
        <v>25.5</v>
      </c>
      <c r="BJ8" s="17">
        <f t="shared" si="22"/>
        <v>2303.5</v>
      </c>
      <c r="BK8" s="17">
        <f t="shared" si="23"/>
        <v>0</v>
      </c>
      <c r="BL8" s="17">
        <f t="shared" si="24"/>
        <v>400</v>
      </c>
      <c r="BM8" s="17">
        <f t="shared" si="25"/>
        <v>0</v>
      </c>
      <c r="BN8" s="17">
        <f t="shared" si="26"/>
        <v>0</v>
      </c>
      <c r="BO8" s="17">
        <f t="shared" si="27"/>
        <v>0</v>
      </c>
      <c r="BP8" s="17">
        <f t="shared" si="28"/>
        <v>0</v>
      </c>
      <c r="BQ8" s="20">
        <f t="shared" si="29"/>
        <v>2703.5</v>
      </c>
      <c r="BR8" s="17">
        <f t="shared" si="30"/>
        <v>432.56</v>
      </c>
      <c r="BS8" s="17">
        <f t="shared" si="31"/>
        <v>3136.06</v>
      </c>
      <c r="BT8" s="21">
        <f t="shared" si="32"/>
        <v>108.14</v>
      </c>
      <c r="BU8" s="21">
        <f t="shared" si="33"/>
        <v>3027.92</v>
      </c>
      <c r="BV8" s="21">
        <f t="shared" si="34"/>
        <v>0</v>
      </c>
      <c r="BW8" s="21">
        <f t="shared" si="35"/>
        <v>3027.92</v>
      </c>
      <c r="BX8" s="22">
        <f t="shared" si="36"/>
        <v>0</v>
      </c>
      <c r="BY8" s="21">
        <f t="shared" si="37"/>
        <v>2703.5</v>
      </c>
      <c r="BZ8" s="23"/>
      <c r="CC8" s="23"/>
    </row>
    <row r="9" spans="1:81" x14ac:dyDescent="0.25">
      <c r="A9" s="11">
        <v>56457</v>
      </c>
      <c r="B9" s="32">
        <v>56457</v>
      </c>
      <c r="C9" s="32"/>
      <c r="D9" t="s">
        <v>69</v>
      </c>
      <c r="E9" t="s">
        <v>141</v>
      </c>
      <c r="F9" t="s">
        <v>142</v>
      </c>
      <c r="G9" t="s">
        <v>143</v>
      </c>
      <c r="I9" s="30">
        <v>125272326</v>
      </c>
      <c r="J9" s="11"/>
      <c r="K9" s="11"/>
      <c r="L9" s="11"/>
      <c r="M9" s="12">
        <v>0</v>
      </c>
      <c r="N9" s="11"/>
      <c r="O9" s="11"/>
      <c r="P9" s="12">
        <v>0</v>
      </c>
      <c r="Q9" s="11"/>
      <c r="R9" s="11"/>
      <c r="S9" s="12">
        <v>0</v>
      </c>
      <c r="T9" s="12"/>
      <c r="U9" s="12"/>
      <c r="V9" s="12">
        <v>0</v>
      </c>
      <c r="W9" s="12"/>
      <c r="X9" s="12"/>
      <c r="Y9" s="12">
        <v>0</v>
      </c>
      <c r="Z9" s="11" t="s">
        <v>154</v>
      </c>
      <c r="AA9" s="11">
        <v>2015</v>
      </c>
      <c r="AB9" s="11" t="s">
        <v>74</v>
      </c>
      <c r="AC9" s="11" t="s">
        <v>155</v>
      </c>
      <c r="AD9" s="11" t="s">
        <v>156</v>
      </c>
      <c r="AE9" s="11" t="s">
        <v>157</v>
      </c>
      <c r="AF9" s="11" t="s">
        <v>78</v>
      </c>
      <c r="AG9" s="11" t="s">
        <v>158</v>
      </c>
      <c r="AH9" s="11" t="s">
        <v>159</v>
      </c>
      <c r="AI9" s="11" t="s">
        <v>160</v>
      </c>
      <c r="AJ9" s="11" t="s">
        <v>99</v>
      </c>
      <c r="AK9" s="11"/>
      <c r="AL9" s="11" t="s">
        <v>84</v>
      </c>
      <c r="AM9" s="12">
        <v>0</v>
      </c>
      <c r="AN9" s="25" t="s">
        <v>161</v>
      </c>
      <c r="AO9" s="11" t="s">
        <v>162</v>
      </c>
      <c r="AP9" s="11" t="s">
        <v>163</v>
      </c>
      <c r="AQ9" s="11"/>
      <c r="AR9" s="11" t="s">
        <v>164</v>
      </c>
      <c r="AS9" s="13">
        <v>45</v>
      </c>
      <c r="AT9" s="12">
        <v>73.540000000000006</v>
      </c>
      <c r="AU9" s="12">
        <v>0</v>
      </c>
      <c r="AV9" s="12">
        <v>2149.66</v>
      </c>
      <c r="AW9" s="12">
        <v>0</v>
      </c>
      <c r="AX9" s="12">
        <v>600</v>
      </c>
      <c r="AY9" s="12">
        <v>0</v>
      </c>
      <c r="AZ9" s="12">
        <v>1100</v>
      </c>
      <c r="BA9" s="12">
        <v>5458.96</v>
      </c>
      <c r="BB9" s="12">
        <v>0</v>
      </c>
      <c r="BC9" s="12"/>
      <c r="BD9" s="14"/>
      <c r="BE9" s="15">
        <f t="shared" si="17"/>
        <v>45935</v>
      </c>
      <c r="BF9" s="16">
        <f t="shared" si="18"/>
        <v>0.12048611111094942</v>
      </c>
      <c r="BG9" s="17">
        <f t="shared" si="19"/>
        <v>2149.66</v>
      </c>
      <c r="BH9" s="18">
        <f t="shared" si="20"/>
        <v>45</v>
      </c>
      <c r="BI9" s="19">
        <f t="shared" si="21"/>
        <v>73.540000000000006</v>
      </c>
      <c r="BJ9" s="17">
        <f t="shared" si="22"/>
        <v>5458.96</v>
      </c>
      <c r="BK9" s="17">
        <f t="shared" si="23"/>
        <v>0</v>
      </c>
      <c r="BL9" s="17">
        <f t="shared" si="24"/>
        <v>600</v>
      </c>
      <c r="BM9" s="17">
        <f t="shared" si="25"/>
        <v>0</v>
      </c>
      <c r="BN9" s="17">
        <f t="shared" si="26"/>
        <v>1100</v>
      </c>
      <c r="BO9" s="17">
        <f t="shared" si="27"/>
        <v>0</v>
      </c>
      <c r="BP9" s="17">
        <f t="shared" si="28"/>
        <v>0</v>
      </c>
      <c r="BQ9" s="20">
        <f t="shared" si="29"/>
        <v>7158.96</v>
      </c>
      <c r="BR9" s="17">
        <f t="shared" si="30"/>
        <v>1145.4336000000001</v>
      </c>
      <c r="BS9" s="17">
        <f t="shared" si="31"/>
        <v>8304.3935999999994</v>
      </c>
      <c r="BT9" s="21">
        <f t="shared" si="32"/>
        <v>286.35840000000002</v>
      </c>
      <c r="BU9" s="21">
        <f t="shared" si="33"/>
        <v>8018.0351999999993</v>
      </c>
      <c r="BV9" s="21">
        <f t="shared" si="34"/>
        <v>0</v>
      </c>
      <c r="BW9" s="21">
        <f t="shared" si="35"/>
        <v>8018.0351999999993</v>
      </c>
      <c r="BX9" s="22">
        <f t="shared" si="36"/>
        <v>0</v>
      </c>
      <c r="BY9" s="21">
        <f t="shared" si="37"/>
        <v>7158.96</v>
      </c>
      <c r="BZ9" s="23"/>
      <c r="CC9" s="23"/>
    </row>
    <row r="10" spans="1:81" x14ac:dyDescent="0.25">
      <c r="A10" s="10">
        <v>56513</v>
      </c>
      <c r="B10" s="32">
        <v>56513</v>
      </c>
      <c r="C10" s="32"/>
      <c r="D10" t="s">
        <v>69</v>
      </c>
      <c r="E10" t="s">
        <v>141</v>
      </c>
      <c r="F10" t="s">
        <v>165</v>
      </c>
      <c r="G10" t="s">
        <v>54</v>
      </c>
      <c r="I10" s="30">
        <v>125272698</v>
      </c>
      <c r="J10" s="11"/>
      <c r="K10" s="24"/>
      <c r="L10" s="11"/>
      <c r="M10" s="12">
        <v>0</v>
      </c>
      <c r="N10" s="11"/>
      <c r="O10" s="11"/>
      <c r="P10" s="12">
        <v>0</v>
      </c>
      <c r="Q10" s="11"/>
      <c r="R10" s="11"/>
      <c r="S10" s="12">
        <v>0</v>
      </c>
      <c r="T10" s="12"/>
      <c r="U10" s="12"/>
      <c r="V10" s="12">
        <v>0</v>
      </c>
      <c r="W10" s="12"/>
      <c r="X10" s="12"/>
      <c r="Y10" s="12">
        <v>0</v>
      </c>
      <c r="Z10" s="11" t="s">
        <v>166</v>
      </c>
      <c r="AA10" s="11">
        <v>2020</v>
      </c>
      <c r="AB10" s="11" t="s">
        <v>167</v>
      </c>
      <c r="AC10" s="11" t="s">
        <v>133</v>
      </c>
      <c r="AD10" s="11" t="s">
        <v>168</v>
      </c>
      <c r="AE10" s="11" t="s">
        <v>169</v>
      </c>
      <c r="AF10" s="11" t="s">
        <v>78</v>
      </c>
      <c r="AG10" s="11" t="s">
        <v>170</v>
      </c>
      <c r="AH10" s="11" t="s">
        <v>171</v>
      </c>
      <c r="AI10" s="11" t="s">
        <v>172</v>
      </c>
      <c r="AJ10" s="11" t="s">
        <v>99</v>
      </c>
      <c r="AK10" s="11"/>
      <c r="AL10" s="11" t="s">
        <v>84</v>
      </c>
      <c r="AM10" s="12">
        <v>0</v>
      </c>
      <c r="AN10" s="25" t="s">
        <v>173</v>
      </c>
      <c r="AO10" s="11" t="s">
        <v>173</v>
      </c>
      <c r="AP10" s="11" t="s">
        <v>173</v>
      </c>
      <c r="AQ10" s="11"/>
      <c r="AR10" s="11" t="s">
        <v>174</v>
      </c>
      <c r="AS10" s="13">
        <v>0</v>
      </c>
      <c r="AT10" s="12">
        <v>0</v>
      </c>
      <c r="AU10" s="12">
        <v>0</v>
      </c>
      <c r="AV10" s="12">
        <v>325</v>
      </c>
      <c r="AW10" s="12">
        <v>0</v>
      </c>
      <c r="AX10" s="12">
        <v>0</v>
      </c>
      <c r="AY10" s="12">
        <v>0</v>
      </c>
      <c r="AZ10" s="12">
        <v>0</v>
      </c>
      <c r="BA10" s="12">
        <v>325</v>
      </c>
      <c r="BB10" s="12">
        <v>0</v>
      </c>
      <c r="BC10" s="12"/>
      <c r="BD10" s="14"/>
      <c r="BE10" s="15">
        <f t="shared" si="17"/>
        <v>45935</v>
      </c>
      <c r="BF10" s="16">
        <f t="shared" si="18"/>
        <v>0.84305555555329192</v>
      </c>
      <c r="BG10" s="17">
        <f t="shared" si="19"/>
        <v>325</v>
      </c>
      <c r="BH10" s="18">
        <f t="shared" si="20"/>
        <v>0</v>
      </c>
      <c r="BI10" s="19">
        <f t="shared" si="21"/>
        <v>0</v>
      </c>
      <c r="BJ10" s="17">
        <f t="shared" si="22"/>
        <v>325</v>
      </c>
      <c r="BK10" s="17">
        <f t="shared" si="23"/>
        <v>0</v>
      </c>
      <c r="BL10" s="17">
        <f t="shared" si="24"/>
        <v>0</v>
      </c>
      <c r="BM10" s="17">
        <f t="shared" si="25"/>
        <v>0</v>
      </c>
      <c r="BN10" s="17">
        <f t="shared" si="26"/>
        <v>0</v>
      </c>
      <c r="BO10" s="17">
        <f t="shared" si="27"/>
        <v>0</v>
      </c>
      <c r="BP10" s="17">
        <f t="shared" si="28"/>
        <v>0</v>
      </c>
      <c r="BQ10" s="20">
        <f t="shared" si="29"/>
        <v>325</v>
      </c>
      <c r="BR10" s="17">
        <f t="shared" si="30"/>
        <v>52</v>
      </c>
      <c r="BS10" s="17">
        <f t="shared" si="31"/>
        <v>377</v>
      </c>
      <c r="BT10" s="21">
        <f t="shared" si="32"/>
        <v>13</v>
      </c>
      <c r="BU10" s="21">
        <f t="shared" si="33"/>
        <v>364</v>
      </c>
      <c r="BV10" s="21">
        <f t="shared" si="34"/>
        <v>0</v>
      </c>
      <c r="BW10" s="21">
        <f t="shared" si="35"/>
        <v>364</v>
      </c>
      <c r="BX10" s="22">
        <f t="shared" si="36"/>
        <v>0</v>
      </c>
      <c r="BY10" s="21">
        <f t="shared" si="37"/>
        <v>325</v>
      </c>
      <c r="BZ10" s="23"/>
      <c r="CC10" s="23"/>
    </row>
    <row r="11" spans="1:81" x14ac:dyDescent="0.25">
      <c r="A11" s="11">
        <v>56522</v>
      </c>
      <c r="B11" s="32">
        <v>56522</v>
      </c>
      <c r="C11" s="32"/>
      <c r="D11" t="s">
        <v>69</v>
      </c>
      <c r="E11" t="s">
        <v>175</v>
      </c>
      <c r="F11" t="s">
        <v>142</v>
      </c>
      <c r="G11" t="s">
        <v>143</v>
      </c>
      <c r="I11" s="30">
        <v>125272775</v>
      </c>
      <c r="J11" s="11"/>
      <c r="K11" s="11"/>
      <c r="L11" s="11"/>
      <c r="M11" s="12">
        <v>0</v>
      </c>
      <c r="N11" s="11"/>
      <c r="O11" s="11"/>
      <c r="P11" s="12">
        <v>0</v>
      </c>
      <c r="Q11" s="11"/>
      <c r="R11" s="11"/>
      <c r="S11" s="12">
        <v>0</v>
      </c>
      <c r="T11" s="12"/>
      <c r="U11" s="12"/>
      <c r="V11" s="12">
        <v>0</v>
      </c>
      <c r="W11" s="12"/>
      <c r="X11" s="12"/>
      <c r="Y11" s="12">
        <v>0</v>
      </c>
      <c r="Z11" s="11" t="s">
        <v>90</v>
      </c>
      <c r="AA11" s="11">
        <v>2017</v>
      </c>
      <c r="AB11" s="11" t="s">
        <v>176</v>
      </c>
      <c r="AC11" s="11" t="s">
        <v>177</v>
      </c>
      <c r="AD11" s="11" t="s">
        <v>178</v>
      </c>
      <c r="AE11" s="11" t="s">
        <v>179</v>
      </c>
      <c r="AF11" s="11" t="s">
        <v>78</v>
      </c>
      <c r="AG11" s="11" t="s">
        <v>180</v>
      </c>
      <c r="AH11" s="11" t="s">
        <v>171</v>
      </c>
      <c r="AI11" s="11" t="s">
        <v>172</v>
      </c>
      <c r="AJ11" s="11" t="s">
        <v>99</v>
      </c>
      <c r="AK11" s="11"/>
      <c r="AL11" s="11" t="s">
        <v>84</v>
      </c>
      <c r="AM11" s="12">
        <v>0</v>
      </c>
      <c r="AN11" s="25" t="s">
        <v>181</v>
      </c>
      <c r="AO11" s="11" t="s">
        <v>182</v>
      </c>
      <c r="AP11" s="11" t="s">
        <v>183</v>
      </c>
      <c r="AQ11" s="11"/>
      <c r="AR11" s="11">
        <v>20349736</v>
      </c>
      <c r="AS11" s="13">
        <v>27</v>
      </c>
      <c r="AT11" s="12">
        <v>25.5</v>
      </c>
      <c r="AU11" s="12">
        <v>0</v>
      </c>
      <c r="AV11" s="12">
        <v>850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/>
      <c r="BD11" s="14"/>
      <c r="BE11" s="15">
        <f t="shared" si="17"/>
        <v>45936</v>
      </c>
      <c r="BF11" s="16">
        <f t="shared" si="18"/>
        <v>8.6805555474711582E-4</v>
      </c>
      <c r="BG11" s="17">
        <f t="shared" si="19"/>
        <v>850</v>
      </c>
      <c r="BH11" s="18">
        <f t="shared" si="20"/>
        <v>27</v>
      </c>
      <c r="BI11" s="19">
        <f t="shared" si="21"/>
        <v>25.5</v>
      </c>
      <c r="BJ11" s="17">
        <f t="shared" si="22"/>
        <v>1538.5</v>
      </c>
      <c r="BK11" s="17">
        <f t="shared" si="23"/>
        <v>0</v>
      </c>
      <c r="BL11" s="17">
        <f t="shared" si="24"/>
        <v>0</v>
      </c>
      <c r="BM11" s="17">
        <f t="shared" si="25"/>
        <v>0</v>
      </c>
      <c r="BN11" s="17">
        <f t="shared" si="26"/>
        <v>0</v>
      </c>
      <c r="BO11" s="17">
        <f t="shared" si="27"/>
        <v>0</v>
      </c>
      <c r="BP11" s="17">
        <f t="shared" si="28"/>
        <v>0</v>
      </c>
      <c r="BQ11" s="20">
        <f t="shared" si="29"/>
        <v>1538.5</v>
      </c>
      <c r="BR11" s="17">
        <f t="shared" si="30"/>
        <v>246.16</v>
      </c>
      <c r="BS11" s="17">
        <f t="shared" si="31"/>
        <v>1784.66</v>
      </c>
      <c r="BT11" s="21">
        <f t="shared" si="32"/>
        <v>61.54</v>
      </c>
      <c r="BU11" s="21">
        <f t="shared" si="33"/>
        <v>1723.1200000000001</v>
      </c>
      <c r="BV11" s="21">
        <f t="shared" si="34"/>
        <v>0</v>
      </c>
      <c r="BW11" s="21">
        <f t="shared" si="35"/>
        <v>1723.1200000000001</v>
      </c>
      <c r="BX11" s="22">
        <f t="shared" si="36"/>
        <v>0</v>
      </c>
      <c r="BY11" s="21">
        <f t="shared" si="37"/>
        <v>1538.5</v>
      </c>
      <c r="BZ11" s="23"/>
      <c r="CC11" s="23"/>
    </row>
    <row r="12" spans="1:81" x14ac:dyDescent="0.25">
      <c r="A12" s="10">
        <v>56526</v>
      </c>
      <c r="B12" s="32">
        <v>56526</v>
      </c>
      <c r="C12" s="32"/>
      <c r="D12" t="s">
        <v>69</v>
      </c>
      <c r="E12" t="s">
        <v>175</v>
      </c>
      <c r="F12" t="s">
        <v>142</v>
      </c>
      <c r="G12" t="s">
        <v>143</v>
      </c>
      <c r="I12" s="30">
        <v>125272787</v>
      </c>
      <c r="J12" s="11"/>
      <c r="K12" s="11"/>
      <c r="L12" s="11"/>
      <c r="M12" s="12">
        <v>0</v>
      </c>
      <c r="N12" s="11"/>
      <c r="O12" s="11"/>
      <c r="P12" s="12">
        <v>0</v>
      </c>
      <c r="Q12" s="11"/>
      <c r="R12" s="11"/>
      <c r="S12" s="12">
        <v>0</v>
      </c>
      <c r="T12" s="12"/>
      <c r="U12" s="12"/>
      <c r="V12" s="12">
        <v>0</v>
      </c>
      <c r="W12" s="12"/>
      <c r="X12" s="12"/>
      <c r="Y12" s="12">
        <v>0</v>
      </c>
      <c r="Z12" s="11" t="s">
        <v>184</v>
      </c>
      <c r="AA12" s="11">
        <v>2024</v>
      </c>
      <c r="AB12" s="11" t="s">
        <v>132</v>
      </c>
      <c r="AC12" s="11" t="s">
        <v>185</v>
      </c>
      <c r="AD12" s="11" t="s">
        <v>186</v>
      </c>
      <c r="AE12" s="11" t="s">
        <v>187</v>
      </c>
      <c r="AF12" s="11" t="s">
        <v>78</v>
      </c>
      <c r="AG12" s="11" t="s">
        <v>188</v>
      </c>
      <c r="AH12" s="11" t="s">
        <v>189</v>
      </c>
      <c r="AI12" s="11" t="s">
        <v>190</v>
      </c>
      <c r="AJ12" s="11" t="s">
        <v>99</v>
      </c>
      <c r="AK12" s="11"/>
      <c r="AL12" s="11" t="s">
        <v>84</v>
      </c>
      <c r="AM12" s="12">
        <v>0</v>
      </c>
      <c r="AN12" s="25" t="s">
        <v>191</v>
      </c>
      <c r="AO12" s="11" t="s">
        <v>192</v>
      </c>
      <c r="AP12" s="11" t="s">
        <v>193</v>
      </c>
      <c r="AQ12" s="11"/>
      <c r="AR12" s="11" t="s">
        <v>194</v>
      </c>
      <c r="AS12" s="13">
        <v>52</v>
      </c>
      <c r="AT12" s="12">
        <v>25.5</v>
      </c>
      <c r="AU12" s="12">
        <v>0</v>
      </c>
      <c r="AV12" s="12">
        <v>850</v>
      </c>
      <c r="AW12" s="12">
        <v>0</v>
      </c>
      <c r="AX12" s="12">
        <v>250</v>
      </c>
      <c r="AY12" s="12">
        <v>0</v>
      </c>
      <c r="AZ12" s="12">
        <v>0</v>
      </c>
      <c r="BA12" s="12">
        <v>0</v>
      </c>
      <c r="BB12" s="12">
        <v>0</v>
      </c>
      <c r="BC12" s="12"/>
      <c r="BD12" s="14"/>
      <c r="BE12" s="15">
        <f t="shared" si="17"/>
        <v>45936</v>
      </c>
      <c r="BF12" s="16">
        <f t="shared" si="18"/>
        <v>8.0023148148029577E-2</v>
      </c>
      <c r="BG12" s="17">
        <f t="shared" si="19"/>
        <v>850</v>
      </c>
      <c r="BH12" s="18">
        <f t="shared" si="20"/>
        <v>52</v>
      </c>
      <c r="BI12" s="19">
        <f t="shared" si="21"/>
        <v>25.5</v>
      </c>
      <c r="BJ12" s="17">
        <f t="shared" si="22"/>
        <v>2176</v>
      </c>
      <c r="BK12" s="17">
        <f t="shared" si="23"/>
        <v>0</v>
      </c>
      <c r="BL12" s="17">
        <f t="shared" si="24"/>
        <v>250</v>
      </c>
      <c r="BM12" s="17">
        <f t="shared" si="25"/>
        <v>0</v>
      </c>
      <c r="BN12" s="17">
        <f t="shared" si="26"/>
        <v>0</v>
      </c>
      <c r="BO12" s="17">
        <f t="shared" si="27"/>
        <v>0</v>
      </c>
      <c r="BP12" s="17">
        <f t="shared" si="28"/>
        <v>0</v>
      </c>
      <c r="BQ12" s="20">
        <f t="shared" si="29"/>
        <v>2426</v>
      </c>
      <c r="BR12" s="17">
        <f t="shared" si="30"/>
        <v>388.16</v>
      </c>
      <c r="BS12" s="17">
        <f t="shared" si="31"/>
        <v>2814.16</v>
      </c>
      <c r="BT12" s="21">
        <f t="shared" si="32"/>
        <v>97.04</v>
      </c>
      <c r="BU12" s="21">
        <f t="shared" si="33"/>
        <v>2717.12</v>
      </c>
      <c r="BV12" s="21">
        <f t="shared" si="34"/>
        <v>0</v>
      </c>
      <c r="BW12" s="21">
        <f t="shared" si="35"/>
        <v>2717.12</v>
      </c>
      <c r="BX12" s="22">
        <f t="shared" si="36"/>
        <v>0</v>
      </c>
      <c r="BY12" s="21">
        <f t="shared" si="37"/>
        <v>2426</v>
      </c>
      <c r="BZ12" s="23"/>
      <c r="CC12" s="23"/>
    </row>
    <row r="13" spans="1:81" x14ac:dyDescent="0.25">
      <c r="A13" s="10">
        <v>56529</v>
      </c>
      <c r="B13" s="32">
        <v>56529</v>
      </c>
      <c r="C13" s="32"/>
      <c r="D13" t="s">
        <v>69</v>
      </c>
      <c r="E13" t="s">
        <v>141</v>
      </c>
      <c r="F13" t="s">
        <v>142</v>
      </c>
      <c r="G13" t="s">
        <v>143</v>
      </c>
      <c r="I13" s="30">
        <v>125272803</v>
      </c>
      <c r="J13" s="11"/>
      <c r="K13" s="11"/>
      <c r="L13" s="11"/>
      <c r="M13" s="12">
        <v>0</v>
      </c>
      <c r="N13" s="11"/>
      <c r="O13" s="11"/>
      <c r="P13" s="12">
        <v>0</v>
      </c>
      <c r="Q13" s="11"/>
      <c r="R13" s="11"/>
      <c r="S13" s="12">
        <v>0</v>
      </c>
      <c r="T13" s="12"/>
      <c r="U13" s="12"/>
      <c r="V13" s="12">
        <v>0</v>
      </c>
      <c r="W13" s="12"/>
      <c r="X13" s="12"/>
      <c r="Y13" s="12">
        <v>0</v>
      </c>
      <c r="Z13" s="11" t="s">
        <v>195</v>
      </c>
      <c r="AA13" s="11">
        <v>2015</v>
      </c>
      <c r="AB13" s="11" t="s">
        <v>74</v>
      </c>
      <c r="AC13" s="11" t="s">
        <v>196</v>
      </c>
      <c r="AD13" s="11" t="s">
        <v>197</v>
      </c>
      <c r="AE13" s="11" t="s">
        <v>198</v>
      </c>
      <c r="AF13" s="11" t="s">
        <v>78</v>
      </c>
      <c r="AG13" s="11" t="s">
        <v>199</v>
      </c>
      <c r="AH13" s="11" t="s">
        <v>171</v>
      </c>
      <c r="AI13" s="11" t="s">
        <v>172</v>
      </c>
      <c r="AJ13" s="11" t="s">
        <v>99</v>
      </c>
      <c r="AK13" s="11"/>
      <c r="AL13" s="11" t="s">
        <v>84</v>
      </c>
      <c r="AM13" s="12">
        <v>0</v>
      </c>
      <c r="AN13" s="25" t="s">
        <v>200</v>
      </c>
      <c r="AO13" s="11" t="s">
        <v>201</v>
      </c>
      <c r="AP13" s="11" t="s">
        <v>202</v>
      </c>
      <c r="AQ13" s="11"/>
      <c r="AR13" s="11">
        <v>20349851</v>
      </c>
      <c r="AS13" s="13">
        <v>18</v>
      </c>
      <c r="AT13" s="12">
        <v>25.5</v>
      </c>
      <c r="AU13" s="12">
        <v>0</v>
      </c>
      <c r="AV13" s="12">
        <v>850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/>
      <c r="BD13" s="14"/>
      <c r="BE13" s="15">
        <f t="shared" si="17"/>
        <v>45936</v>
      </c>
      <c r="BF13" s="16">
        <f t="shared" si="18"/>
        <v>0.11603009259124519</v>
      </c>
      <c r="BG13" s="17">
        <f t="shared" si="19"/>
        <v>850</v>
      </c>
      <c r="BH13" s="18">
        <f t="shared" si="20"/>
        <v>18</v>
      </c>
      <c r="BI13" s="19">
        <f t="shared" si="21"/>
        <v>25.5</v>
      </c>
      <c r="BJ13" s="17">
        <f t="shared" si="22"/>
        <v>1309</v>
      </c>
      <c r="BK13" s="17">
        <f t="shared" si="23"/>
        <v>0</v>
      </c>
      <c r="BL13" s="17">
        <f t="shared" si="24"/>
        <v>0</v>
      </c>
      <c r="BM13" s="17">
        <f t="shared" si="25"/>
        <v>0</v>
      </c>
      <c r="BN13" s="17">
        <f t="shared" si="26"/>
        <v>0</v>
      </c>
      <c r="BO13" s="17">
        <f t="shared" si="27"/>
        <v>0</v>
      </c>
      <c r="BP13" s="17">
        <f t="shared" si="28"/>
        <v>0</v>
      </c>
      <c r="BQ13" s="20">
        <f t="shared" si="29"/>
        <v>1309</v>
      </c>
      <c r="BR13" s="17">
        <f t="shared" si="30"/>
        <v>209.44</v>
      </c>
      <c r="BS13" s="17">
        <f t="shared" si="31"/>
        <v>1518.44</v>
      </c>
      <c r="BT13" s="21">
        <f t="shared" si="32"/>
        <v>52.36</v>
      </c>
      <c r="BU13" s="21">
        <f t="shared" si="33"/>
        <v>1466.0800000000002</v>
      </c>
      <c r="BV13" s="21">
        <f t="shared" si="34"/>
        <v>0</v>
      </c>
      <c r="BW13" s="21">
        <f t="shared" si="35"/>
        <v>1466.0800000000002</v>
      </c>
      <c r="BX13" s="22">
        <f t="shared" si="36"/>
        <v>0</v>
      </c>
      <c r="BY13" s="21">
        <f t="shared" si="37"/>
        <v>1309</v>
      </c>
      <c r="BZ13" s="23"/>
      <c r="CC13" s="23"/>
    </row>
    <row r="14" spans="1:81" x14ac:dyDescent="0.25">
      <c r="A14" s="11">
        <v>56590</v>
      </c>
      <c r="B14" s="32">
        <v>56590</v>
      </c>
      <c r="C14" s="32"/>
      <c r="D14" t="s">
        <v>69</v>
      </c>
      <c r="E14" t="s">
        <v>141</v>
      </c>
      <c r="F14" t="s">
        <v>142</v>
      </c>
      <c r="G14" t="s">
        <v>143</v>
      </c>
      <c r="I14" s="30">
        <v>125273984</v>
      </c>
      <c r="J14" s="11"/>
      <c r="K14" s="11"/>
      <c r="L14" s="11"/>
      <c r="M14" s="12">
        <v>0</v>
      </c>
      <c r="N14" s="11"/>
      <c r="O14" s="11"/>
      <c r="P14" s="12">
        <v>0</v>
      </c>
      <c r="Q14" s="11"/>
      <c r="R14" s="11"/>
      <c r="S14" s="12">
        <v>0</v>
      </c>
      <c r="T14" s="12"/>
      <c r="U14" s="12"/>
      <c r="V14" s="12">
        <v>0</v>
      </c>
      <c r="W14" s="12"/>
      <c r="X14" s="12"/>
      <c r="Y14" s="12">
        <v>0</v>
      </c>
      <c r="Z14" s="11" t="s">
        <v>203</v>
      </c>
      <c r="AA14" s="11">
        <v>2016</v>
      </c>
      <c r="AB14" s="11" t="s">
        <v>132</v>
      </c>
      <c r="AC14" s="11" t="s">
        <v>204</v>
      </c>
      <c r="AD14" s="11" t="s">
        <v>205</v>
      </c>
      <c r="AE14" s="11" t="s">
        <v>206</v>
      </c>
      <c r="AF14" s="11" t="s">
        <v>78</v>
      </c>
      <c r="AG14" s="11" t="s">
        <v>207</v>
      </c>
      <c r="AH14" s="11" t="s">
        <v>208</v>
      </c>
      <c r="AI14" s="11" t="s">
        <v>209</v>
      </c>
      <c r="AJ14" s="11" t="s">
        <v>99</v>
      </c>
      <c r="AK14" s="11"/>
      <c r="AL14" s="11" t="s">
        <v>84</v>
      </c>
      <c r="AM14" s="12">
        <v>0</v>
      </c>
      <c r="AN14" s="25" t="s">
        <v>210</v>
      </c>
      <c r="AO14" s="11" t="s">
        <v>211</v>
      </c>
      <c r="AP14" s="11" t="s">
        <v>212</v>
      </c>
      <c r="AQ14" s="11"/>
      <c r="AR14" s="11" t="s">
        <v>213</v>
      </c>
      <c r="AS14" s="13">
        <v>40</v>
      </c>
      <c r="AT14" s="12">
        <v>25.5</v>
      </c>
      <c r="AU14" s="12">
        <v>0</v>
      </c>
      <c r="AV14" s="12">
        <v>850</v>
      </c>
      <c r="AW14" s="12">
        <v>0</v>
      </c>
      <c r="AX14" s="12">
        <v>500</v>
      </c>
      <c r="AY14" s="12">
        <v>0</v>
      </c>
      <c r="AZ14" s="12">
        <v>500</v>
      </c>
      <c r="BA14" s="12">
        <v>1870</v>
      </c>
      <c r="BB14" s="12">
        <v>0</v>
      </c>
      <c r="BC14" s="12"/>
      <c r="BD14" s="14"/>
      <c r="BE14" s="15">
        <f t="shared" si="17"/>
        <v>45937</v>
      </c>
      <c r="BF14" s="16">
        <f t="shared" si="18"/>
        <v>4.0081018516502809E-2</v>
      </c>
      <c r="BG14" s="17">
        <f t="shared" si="19"/>
        <v>850</v>
      </c>
      <c r="BH14" s="18">
        <f t="shared" si="20"/>
        <v>40</v>
      </c>
      <c r="BI14" s="19">
        <f t="shared" si="21"/>
        <v>25.5</v>
      </c>
      <c r="BJ14" s="17">
        <f t="shared" si="22"/>
        <v>1870</v>
      </c>
      <c r="BK14" s="17">
        <f t="shared" si="23"/>
        <v>0</v>
      </c>
      <c r="BL14" s="17">
        <f t="shared" si="24"/>
        <v>500</v>
      </c>
      <c r="BM14" s="17">
        <f t="shared" si="25"/>
        <v>0</v>
      </c>
      <c r="BN14" s="17">
        <f t="shared" si="26"/>
        <v>500</v>
      </c>
      <c r="BO14" s="17">
        <f t="shared" si="27"/>
        <v>0</v>
      </c>
      <c r="BP14" s="17">
        <f t="shared" si="28"/>
        <v>0</v>
      </c>
      <c r="BQ14" s="20">
        <f t="shared" si="29"/>
        <v>2870</v>
      </c>
      <c r="BR14" s="17">
        <f t="shared" si="30"/>
        <v>459.2</v>
      </c>
      <c r="BS14" s="17">
        <f t="shared" si="31"/>
        <v>3329.2</v>
      </c>
      <c r="BT14" s="21">
        <f t="shared" si="32"/>
        <v>114.8</v>
      </c>
      <c r="BU14" s="21">
        <f t="shared" si="33"/>
        <v>3214.3999999999996</v>
      </c>
      <c r="BV14" s="21">
        <f t="shared" si="34"/>
        <v>0</v>
      </c>
      <c r="BW14" s="21">
        <f t="shared" si="35"/>
        <v>3214.3999999999996</v>
      </c>
      <c r="BX14" s="22">
        <f t="shared" si="36"/>
        <v>0</v>
      </c>
      <c r="BY14" s="21">
        <f t="shared" si="37"/>
        <v>2870</v>
      </c>
      <c r="BZ14" s="23"/>
      <c r="CC14" s="23"/>
    </row>
    <row r="15" spans="1:81" x14ac:dyDescent="0.25">
      <c r="A15" s="10">
        <v>56594</v>
      </c>
      <c r="B15" s="32">
        <v>56594</v>
      </c>
      <c r="C15" s="32"/>
      <c r="D15" t="s">
        <v>69</v>
      </c>
      <c r="E15" t="s">
        <v>141</v>
      </c>
      <c r="F15" t="s">
        <v>142</v>
      </c>
      <c r="G15" t="s">
        <v>143</v>
      </c>
      <c r="I15" s="30">
        <v>125274007</v>
      </c>
      <c r="J15" s="11"/>
      <c r="K15" s="11"/>
      <c r="L15" s="11"/>
      <c r="M15" s="12">
        <v>0</v>
      </c>
      <c r="N15" s="11"/>
      <c r="O15" s="11"/>
      <c r="P15" s="12">
        <v>0</v>
      </c>
      <c r="Q15" s="11"/>
      <c r="R15" s="11"/>
      <c r="S15" s="12">
        <v>0</v>
      </c>
      <c r="T15" s="12"/>
      <c r="U15" s="12"/>
      <c r="V15" s="12">
        <v>0</v>
      </c>
      <c r="W15" s="12"/>
      <c r="X15" s="12"/>
      <c r="Y15" s="12">
        <v>0</v>
      </c>
      <c r="Z15" s="11" t="s">
        <v>214</v>
      </c>
      <c r="AA15" s="11">
        <v>2016</v>
      </c>
      <c r="AB15" s="11" t="s">
        <v>74</v>
      </c>
      <c r="AC15" s="11" t="s">
        <v>215</v>
      </c>
      <c r="AD15" s="11" t="s">
        <v>216</v>
      </c>
      <c r="AE15" s="11" t="s">
        <v>217</v>
      </c>
      <c r="AF15" s="11" t="s">
        <v>78</v>
      </c>
      <c r="AG15" s="11" t="s">
        <v>218</v>
      </c>
      <c r="AH15" s="11" t="s">
        <v>171</v>
      </c>
      <c r="AI15" s="11" t="s">
        <v>172</v>
      </c>
      <c r="AJ15" s="11" t="s">
        <v>99</v>
      </c>
      <c r="AK15" s="11"/>
      <c r="AL15" s="11" t="s">
        <v>84</v>
      </c>
      <c r="AM15" s="12">
        <v>0</v>
      </c>
      <c r="AN15" s="25" t="s">
        <v>219</v>
      </c>
      <c r="AO15" s="11" t="s">
        <v>220</v>
      </c>
      <c r="AP15" s="11" t="s">
        <v>221</v>
      </c>
      <c r="AQ15" s="11"/>
      <c r="AR15" s="11" t="s">
        <v>222</v>
      </c>
      <c r="AS15" s="13">
        <v>15</v>
      </c>
      <c r="AT15" s="12">
        <v>25.5</v>
      </c>
      <c r="AU15" s="12">
        <v>0</v>
      </c>
      <c r="AV15" s="12">
        <v>850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/>
      <c r="BD15" s="14"/>
      <c r="BE15" s="15">
        <f t="shared" si="17"/>
        <v>45937</v>
      </c>
      <c r="BF15" s="16">
        <f t="shared" si="18"/>
        <v>0.12215277777431766</v>
      </c>
      <c r="BG15" s="17">
        <f t="shared" si="19"/>
        <v>850</v>
      </c>
      <c r="BH15" s="18">
        <f t="shared" si="20"/>
        <v>15</v>
      </c>
      <c r="BI15" s="19">
        <f t="shared" si="21"/>
        <v>25.5</v>
      </c>
      <c r="BJ15" s="17">
        <f t="shared" si="22"/>
        <v>1232.5</v>
      </c>
      <c r="BK15" s="17">
        <f t="shared" si="23"/>
        <v>0</v>
      </c>
      <c r="BL15" s="17">
        <f t="shared" si="24"/>
        <v>0</v>
      </c>
      <c r="BM15" s="17">
        <f t="shared" si="25"/>
        <v>0</v>
      </c>
      <c r="BN15" s="17">
        <f t="shared" si="26"/>
        <v>0</v>
      </c>
      <c r="BO15" s="17">
        <f t="shared" si="27"/>
        <v>0</v>
      </c>
      <c r="BP15" s="17">
        <f t="shared" si="28"/>
        <v>0</v>
      </c>
      <c r="BQ15" s="20">
        <f t="shared" si="29"/>
        <v>1232.5</v>
      </c>
      <c r="BR15" s="17">
        <f t="shared" si="30"/>
        <v>197.20000000000002</v>
      </c>
      <c r="BS15" s="17">
        <f t="shared" si="31"/>
        <v>1429.7</v>
      </c>
      <c r="BT15" s="21">
        <f t="shared" si="32"/>
        <v>49.300000000000004</v>
      </c>
      <c r="BU15" s="21">
        <f t="shared" si="33"/>
        <v>1380.4</v>
      </c>
      <c r="BV15" s="21">
        <f t="shared" si="34"/>
        <v>0</v>
      </c>
      <c r="BW15" s="21">
        <f t="shared" si="35"/>
        <v>1380.4</v>
      </c>
      <c r="BX15" s="22">
        <f t="shared" si="36"/>
        <v>0</v>
      </c>
      <c r="BY15" s="21">
        <f t="shared" si="37"/>
        <v>1232.5</v>
      </c>
      <c r="BZ15" s="23"/>
      <c r="CC15" s="23"/>
    </row>
    <row r="16" spans="1:81" x14ac:dyDescent="0.25">
      <c r="A16" s="10">
        <v>56596</v>
      </c>
      <c r="B16" s="32">
        <v>56596</v>
      </c>
      <c r="C16" s="32"/>
      <c r="D16" t="s">
        <v>69</v>
      </c>
      <c r="E16" t="s">
        <v>141</v>
      </c>
      <c r="F16" t="s">
        <v>142</v>
      </c>
      <c r="G16" t="s">
        <v>143</v>
      </c>
      <c r="I16" s="30">
        <v>125274014</v>
      </c>
      <c r="J16" s="11"/>
      <c r="K16" s="11"/>
      <c r="L16" s="11"/>
      <c r="M16" s="12">
        <v>0</v>
      </c>
      <c r="N16" s="11"/>
      <c r="O16" s="11"/>
      <c r="P16" s="12">
        <v>0</v>
      </c>
      <c r="Q16" s="11"/>
      <c r="R16" s="11"/>
      <c r="S16" s="12">
        <v>0</v>
      </c>
      <c r="T16" s="12"/>
      <c r="U16" s="12"/>
      <c r="V16" s="12">
        <v>0</v>
      </c>
      <c r="W16" s="12"/>
      <c r="X16" s="12"/>
      <c r="Y16" s="12">
        <v>0</v>
      </c>
      <c r="Z16" s="11" t="s">
        <v>223</v>
      </c>
      <c r="AA16" s="11">
        <v>2018</v>
      </c>
      <c r="AB16" s="11" t="s">
        <v>132</v>
      </c>
      <c r="AC16" s="11" t="s">
        <v>224</v>
      </c>
      <c r="AD16" s="11" t="s">
        <v>225</v>
      </c>
      <c r="AE16" s="11" t="s">
        <v>226</v>
      </c>
      <c r="AF16" s="11" t="s">
        <v>78</v>
      </c>
      <c r="AG16" s="11" t="s">
        <v>227</v>
      </c>
      <c r="AH16" s="11" t="s">
        <v>228</v>
      </c>
      <c r="AI16" s="11" t="s">
        <v>229</v>
      </c>
      <c r="AJ16" s="11" t="s">
        <v>99</v>
      </c>
      <c r="AK16" s="11"/>
      <c r="AL16" s="11" t="s">
        <v>84</v>
      </c>
      <c r="AM16" s="12">
        <v>0</v>
      </c>
      <c r="AN16" s="25" t="s">
        <v>230</v>
      </c>
      <c r="AO16" s="11" t="s">
        <v>231</v>
      </c>
      <c r="AP16" s="11" t="s">
        <v>232</v>
      </c>
      <c r="AQ16" s="11"/>
      <c r="AR16" s="11" t="s">
        <v>233</v>
      </c>
      <c r="AS16" s="13">
        <v>28</v>
      </c>
      <c r="AT16" s="12">
        <v>25.5</v>
      </c>
      <c r="AU16" s="12">
        <v>0</v>
      </c>
      <c r="AV16" s="12">
        <v>850</v>
      </c>
      <c r="AW16" s="12">
        <v>0</v>
      </c>
      <c r="AX16" s="12">
        <v>250</v>
      </c>
      <c r="AY16" s="12">
        <v>0</v>
      </c>
      <c r="AZ16" s="12">
        <v>0</v>
      </c>
      <c r="BA16" s="12">
        <v>0</v>
      </c>
      <c r="BB16" s="12">
        <v>0</v>
      </c>
      <c r="BC16" s="12"/>
      <c r="BD16" s="14"/>
      <c r="BE16" s="15">
        <f t="shared" si="17"/>
        <v>45937</v>
      </c>
      <c r="BF16" s="16">
        <f t="shared" si="18"/>
        <v>0.174456018517958</v>
      </c>
      <c r="BG16" s="17">
        <f t="shared" si="19"/>
        <v>850</v>
      </c>
      <c r="BH16" s="18">
        <f t="shared" si="20"/>
        <v>28</v>
      </c>
      <c r="BI16" s="19">
        <f t="shared" si="21"/>
        <v>25.5</v>
      </c>
      <c r="BJ16" s="17">
        <f t="shared" si="22"/>
        <v>1564</v>
      </c>
      <c r="BK16" s="17">
        <f t="shared" si="23"/>
        <v>0</v>
      </c>
      <c r="BL16" s="17">
        <f t="shared" si="24"/>
        <v>250</v>
      </c>
      <c r="BM16" s="17">
        <f t="shared" si="25"/>
        <v>0</v>
      </c>
      <c r="BN16" s="17">
        <f t="shared" si="26"/>
        <v>0</v>
      </c>
      <c r="BO16" s="17">
        <f t="shared" si="27"/>
        <v>0</v>
      </c>
      <c r="BP16" s="17">
        <f t="shared" si="28"/>
        <v>0</v>
      </c>
      <c r="BQ16" s="20">
        <f t="shared" si="29"/>
        <v>1814</v>
      </c>
      <c r="BR16" s="17">
        <f t="shared" si="30"/>
        <v>290.24</v>
      </c>
      <c r="BS16" s="17">
        <f t="shared" si="31"/>
        <v>2104.2399999999998</v>
      </c>
      <c r="BT16" s="21">
        <f t="shared" si="32"/>
        <v>72.56</v>
      </c>
      <c r="BU16" s="21">
        <f t="shared" si="33"/>
        <v>2031.6799999999998</v>
      </c>
      <c r="BV16" s="21">
        <f t="shared" si="34"/>
        <v>0</v>
      </c>
      <c r="BW16" s="21">
        <f t="shared" si="35"/>
        <v>2031.6799999999998</v>
      </c>
      <c r="BX16" s="22">
        <f t="shared" si="36"/>
        <v>0</v>
      </c>
      <c r="BY16" s="21">
        <f t="shared" si="37"/>
        <v>1814</v>
      </c>
      <c r="BZ16" s="23"/>
      <c r="CC16" s="23"/>
    </row>
    <row r="17" spans="1:81" x14ac:dyDescent="0.25">
      <c r="A17" s="11">
        <v>56597</v>
      </c>
      <c r="B17" s="32">
        <v>56597</v>
      </c>
      <c r="C17" s="32"/>
      <c r="D17" t="s">
        <v>69</v>
      </c>
      <c r="E17" t="s">
        <v>234</v>
      </c>
      <c r="F17" t="s">
        <v>142</v>
      </c>
      <c r="G17" t="s">
        <v>143</v>
      </c>
      <c r="I17" s="30">
        <v>125273900</v>
      </c>
      <c r="J17" s="11"/>
      <c r="K17" s="11"/>
      <c r="L17" s="11"/>
      <c r="M17" s="12">
        <v>0</v>
      </c>
      <c r="N17" s="11"/>
      <c r="O17" s="11"/>
      <c r="P17" s="12">
        <v>0</v>
      </c>
      <c r="Q17" s="11"/>
      <c r="R17" s="11"/>
      <c r="S17" s="12">
        <v>0</v>
      </c>
      <c r="T17" s="12"/>
      <c r="U17" s="12"/>
      <c r="V17" s="12">
        <v>0</v>
      </c>
      <c r="W17" s="12"/>
      <c r="X17" s="12"/>
      <c r="Y17" s="12">
        <v>0</v>
      </c>
      <c r="Z17" s="11" t="s">
        <v>235</v>
      </c>
      <c r="AA17" s="11">
        <v>2024</v>
      </c>
      <c r="AB17" s="11" t="s">
        <v>74</v>
      </c>
      <c r="AC17" s="11" t="s">
        <v>236</v>
      </c>
      <c r="AD17" s="11" t="s">
        <v>237</v>
      </c>
      <c r="AE17" s="11" t="s">
        <v>238</v>
      </c>
      <c r="AF17" s="11" t="s">
        <v>78</v>
      </c>
      <c r="AG17" s="11" t="s">
        <v>239</v>
      </c>
      <c r="AH17" s="11" t="s">
        <v>240</v>
      </c>
      <c r="AI17" s="11" t="s">
        <v>241</v>
      </c>
      <c r="AJ17" s="11" t="s">
        <v>99</v>
      </c>
      <c r="AK17" s="11"/>
      <c r="AL17" s="11" t="s">
        <v>84</v>
      </c>
      <c r="AM17" s="12">
        <v>0</v>
      </c>
      <c r="AN17" s="25" t="s">
        <v>242</v>
      </c>
      <c r="AO17" s="11" t="s">
        <v>243</v>
      </c>
      <c r="AP17" s="11" t="s">
        <v>244</v>
      </c>
      <c r="AQ17" s="11"/>
      <c r="AR17" s="11" t="s">
        <v>245</v>
      </c>
      <c r="AS17" s="13">
        <v>30</v>
      </c>
      <c r="AT17" s="12">
        <v>25.5</v>
      </c>
      <c r="AU17" s="12">
        <v>0</v>
      </c>
      <c r="AV17" s="12">
        <v>850</v>
      </c>
      <c r="AW17" s="12">
        <v>0</v>
      </c>
      <c r="AX17" s="12">
        <v>300</v>
      </c>
      <c r="AY17" s="12">
        <v>0</v>
      </c>
      <c r="AZ17" s="12">
        <v>0</v>
      </c>
      <c r="BA17" s="12">
        <v>0</v>
      </c>
      <c r="BB17" s="12">
        <v>0</v>
      </c>
      <c r="BC17" s="12"/>
      <c r="BD17" s="14"/>
      <c r="BE17" s="15">
        <f t="shared" si="17"/>
        <v>45937</v>
      </c>
      <c r="BF17" s="16">
        <f t="shared" si="18"/>
        <v>0.32648148148291511</v>
      </c>
      <c r="BG17" s="17">
        <f t="shared" si="19"/>
        <v>850</v>
      </c>
      <c r="BH17" s="18">
        <f t="shared" si="20"/>
        <v>30</v>
      </c>
      <c r="BI17" s="19">
        <f t="shared" si="21"/>
        <v>25.5</v>
      </c>
      <c r="BJ17" s="17">
        <f t="shared" si="22"/>
        <v>1615</v>
      </c>
      <c r="BK17" s="17">
        <f t="shared" si="23"/>
        <v>0</v>
      </c>
      <c r="BL17" s="17">
        <f t="shared" si="24"/>
        <v>300</v>
      </c>
      <c r="BM17" s="17">
        <f t="shared" si="25"/>
        <v>0</v>
      </c>
      <c r="BN17" s="17">
        <f t="shared" si="26"/>
        <v>0</v>
      </c>
      <c r="BO17" s="17">
        <f t="shared" si="27"/>
        <v>0</v>
      </c>
      <c r="BP17" s="17">
        <f t="shared" si="28"/>
        <v>0</v>
      </c>
      <c r="BQ17" s="20">
        <f t="shared" si="29"/>
        <v>1915</v>
      </c>
      <c r="BR17" s="17">
        <f t="shared" si="30"/>
        <v>306.40000000000003</v>
      </c>
      <c r="BS17" s="17">
        <f t="shared" si="31"/>
        <v>2221.4</v>
      </c>
      <c r="BT17" s="21">
        <f t="shared" si="32"/>
        <v>76.600000000000009</v>
      </c>
      <c r="BU17" s="21">
        <f t="shared" si="33"/>
        <v>2144.8000000000002</v>
      </c>
      <c r="BV17" s="21">
        <f t="shared" si="34"/>
        <v>0</v>
      </c>
      <c r="BW17" s="21">
        <f t="shared" si="35"/>
        <v>2144.8000000000002</v>
      </c>
      <c r="BX17" s="22">
        <f t="shared" si="36"/>
        <v>0</v>
      </c>
      <c r="BY17" s="21">
        <f t="shared" si="37"/>
        <v>1915</v>
      </c>
      <c r="BZ17" s="23"/>
      <c r="CC17" s="23"/>
    </row>
    <row r="18" spans="1:81" x14ac:dyDescent="0.25">
      <c r="A18" s="11">
        <v>56617</v>
      </c>
      <c r="B18" s="32">
        <v>56617</v>
      </c>
      <c r="C18" s="32"/>
      <c r="D18" t="s">
        <v>69</v>
      </c>
      <c r="E18" t="s">
        <v>246</v>
      </c>
      <c r="F18" t="s">
        <v>165</v>
      </c>
      <c r="G18" t="s">
        <v>143</v>
      </c>
      <c r="I18" s="30">
        <v>125274169</v>
      </c>
      <c r="J18" s="11"/>
      <c r="K18" s="26"/>
      <c r="L18" s="11"/>
      <c r="M18" s="12">
        <v>0</v>
      </c>
      <c r="N18" s="11"/>
      <c r="O18" s="11"/>
      <c r="P18" s="12">
        <v>0</v>
      </c>
      <c r="Q18" s="11"/>
      <c r="R18" s="11"/>
      <c r="S18" s="12">
        <v>0</v>
      </c>
      <c r="T18" s="12"/>
      <c r="U18" s="12"/>
      <c r="V18" s="12">
        <v>0</v>
      </c>
      <c r="W18" s="12"/>
      <c r="X18" s="12"/>
      <c r="Y18" s="12">
        <v>0</v>
      </c>
      <c r="Z18" s="11" t="s">
        <v>247</v>
      </c>
      <c r="AA18" s="11">
        <v>2018</v>
      </c>
      <c r="AB18" s="11" t="s">
        <v>74</v>
      </c>
      <c r="AC18" s="11" t="s">
        <v>133</v>
      </c>
      <c r="AD18" s="24" t="s">
        <v>248</v>
      </c>
      <c r="AE18" s="11" t="s">
        <v>249</v>
      </c>
      <c r="AF18" s="11" t="s">
        <v>78</v>
      </c>
      <c r="AG18" s="11" t="s">
        <v>250</v>
      </c>
      <c r="AH18" s="11" t="s">
        <v>240</v>
      </c>
      <c r="AI18" s="11" t="s">
        <v>241</v>
      </c>
      <c r="AJ18" s="11" t="s">
        <v>251</v>
      </c>
      <c r="AK18" s="11"/>
      <c r="AL18" s="11" t="s">
        <v>84</v>
      </c>
      <c r="AM18" s="12">
        <v>0</v>
      </c>
      <c r="AN18" s="25" t="s">
        <v>252</v>
      </c>
      <c r="AO18" s="11" t="s">
        <v>252</v>
      </c>
      <c r="AP18" s="11" t="s">
        <v>252</v>
      </c>
      <c r="AQ18" s="11"/>
      <c r="AR18" s="24" t="s">
        <v>234</v>
      </c>
      <c r="AS18" s="13">
        <v>0</v>
      </c>
      <c r="AT18" s="12">
        <v>0</v>
      </c>
      <c r="AU18" s="12">
        <v>0</v>
      </c>
      <c r="AV18" s="12">
        <v>400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/>
      <c r="BD18" s="14"/>
      <c r="BE18" s="15">
        <f t="shared" si="17"/>
        <v>45937</v>
      </c>
      <c r="BF18" s="16">
        <f t="shared" si="18"/>
        <v>0.44027777777955635</v>
      </c>
      <c r="BG18" s="17">
        <f t="shared" si="19"/>
        <v>400</v>
      </c>
      <c r="BH18" s="18">
        <f t="shared" si="20"/>
        <v>0</v>
      </c>
      <c r="BI18" s="19">
        <f t="shared" si="21"/>
        <v>0</v>
      </c>
      <c r="BJ18" s="17">
        <f t="shared" si="22"/>
        <v>400</v>
      </c>
      <c r="BK18" s="17">
        <f t="shared" si="23"/>
        <v>0</v>
      </c>
      <c r="BL18" s="17">
        <f t="shared" si="24"/>
        <v>0</v>
      </c>
      <c r="BM18" s="17">
        <f t="shared" si="25"/>
        <v>0</v>
      </c>
      <c r="BN18" s="17">
        <f t="shared" si="26"/>
        <v>0</v>
      </c>
      <c r="BO18" s="17">
        <f t="shared" si="27"/>
        <v>0</v>
      </c>
      <c r="BP18" s="17">
        <f t="shared" si="28"/>
        <v>0</v>
      </c>
      <c r="BQ18" s="20">
        <f t="shared" si="29"/>
        <v>400</v>
      </c>
      <c r="BR18" s="17">
        <f t="shared" si="30"/>
        <v>64</v>
      </c>
      <c r="BS18" s="17">
        <f t="shared" si="31"/>
        <v>464</v>
      </c>
      <c r="BT18" s="21">
        <f t="shared" si="32"/>
        <v>16</v>
      </c>
      <c r="BU18" s="21">
        <f t="shared" si="33"/>
        <v>448</v>
      </c>
      <c r="BV18" s="21">
        <f t="shared" si="34"/>
        <v>0</v>
      </c>
      <c r="BW18" s="21">
        <f t="shared" si="35"/>
        <v>448</v>
      </c>
      <c r="BX18" s="22">
        <f t="shared" si="36"/>
        <v>0</v>
      </c>
      <c r="BY18" s="21">
        <f t="shared" si="37"/>
        <v>400</v>
      </c>
      <c r="BZ18" s="23"/>
      <c r="CC18" s="23"/>
    </row>
    <row r="19" spans="1:81" x14ac:dyDescent="0.25">
      <c r="A19" s="10">
        <v>56661</v>
      </c>
      <c r="B19" s="32">
        <v>56661</v>
      </c>
      <c r="C19" s="32"/>
      <c r="D19" t="s">
        <v>69</v>
      </c>
      <c r="E19" t="s">
        <v>253</v>
      </c>
      <c r="F19" t="s">
        <v>142</v>
      </c>
      <c r="G19" t="s">
        <v>143</v>
      </c>
      <c r="I19" s="30">
        <v>125275108</v>
      </c>
      <c r="J19" s="11"/>
      <c r="K19" s="26"/>
      <c r="L19" s="11"/>
      <c r="M19" s="12">
        <v>0</v>
      </c>
      <c r="N19" s="11"/>
      <c r="O19" s="11"/>
      <c r="P19" s="12">
        <v>0</v>
      </c>
      <c r="Q19" s="11"/>
      <c r="R19" s="11"/>
      <c r="S19" s="12">
        <v>0</v>
      </c>
      <c r="T19" s="12"/>
      <c r="U19" s="12"/>
      <c r="V19" s="12">
        <v>0</v>
      </c>
      <c r="W19" s="12"/>
      <c r="X19" s="12"/>
      <c r="Y19" s="12">
        <v>0</v>
      </c>
      <c r="Z19" s="11" t="s">
        <v>254</v>
      </c>
      <c r="AA19" s="11"/>
      <c r="AB19" s="11" t="s">
        <v>88</v>
      </c>
      <c r="AC19" s="11" t="s">
        <v>133</v>
      </c>
      <c r="AD19" s="11" t="s">
        <v>255</v>
      </c>
      <c r="AE19" s="11" t="s">
        <v>256</v>
      </c>
      <c r="AF19" s="11" t="s">
        <v>78</v>
      </c>
      <c r="AG19" s="11" t="s">
        <v>257</v>
      </c>
      <c r="AH19" s="11" t="s">
        <v>258</v>
      </c>
      <c r="AI19" s="11" t="s">
        <v>259</v>
      </c>
      <c r="AJ19" s="11" t="s">
        <v>251</v>
      </c>
      <c r="AK19" s="11"/>
      <c r="AL19" s="11" t="s">
        <v>84</v>
      </c>
      <c r="AM19" s="12">
        <v>0</v>
      </c>
      <c r="AN19" s="25" t="s">
        <v>260</v>
      </c>
      <c r="AO19" s="11" t="s">
        <v>260</v>
      </c>
      <c r="AP19" s="11" t="s">
        <v>261</v>
      </c>
      <c r="AQ19" s="11"/>
      <c r="AR19" s="11">
        <v>20355525</v>
      </c>
      <c r="AS19" s="13">
        <v>31</v>
      </c>
      <c r="AT19" s="12">
        <v>25.5</v>
      </c>
      <c r="AU19" s="12">
        <v>0</v>
      </c>
      <c r="AV19" s="12">
        <v>850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/>
      <c r="BD19" s="14"/>
      <c r="BE19" s="15">
        <f t="shared" si="17"/>
        <v>45938</v>
      </c>
      <c r="BF19" s="16">
        <f t="shared" si="18"/>
        <v>0.33958333333430346</v>
      </c>
      <c r="BG19" s="17">
        <f t="shared" si="19"/>
        <v>850</v>
      </c>
      <c r="BH19" s="18">
        <f t="shared" si="20"/>
        <v>31</v>
      </c>
      <c r="BI19" s="19">
        <f t="shared" si="21"/>
        <v>25.5</v>
      </c>
      <c r="BJ19" s="17">
        <f t="shared" si="22"/>
        <v>1640.5</v>
      </c>
      <c r="BK19" s="17">
        <f t="shared" si="23"/>
        <v>0</v>
      </c>
      <c r="BL19" s="17">
        <f t="shared" si="24"/>
        <v>0</v>
      </c>
      <c r="BM19" s="17">
        <f t="shared" si="25"/>
        <v>0</v>
      </c>
      <c r="BN19" s="17">
        <f t="shared" si="26"/>
        <v>0</v>
      </c>
      <c r="BO19" s="17">
        <f t="shared" si="27"/>
        <v>0</v>
      </c>
      <c r="BP19" s="17">
        <f t="shared" si="28"/>
        <v>0</v>
      </c>
      <c r="BQ19" s="20">
        <f t="shared" si="29"/>
        <v>1640.5</v>
      </c>
      <c r="BR19" s="17">
        <f t="shared" si="30"/>
        <v>262.48</v>
      </c>
      <c r="BS19" s="17">
        <f t="shared" si="31"/>
        <v>1902.98</v>
      </c>
      <c r="BT19" s="21">
        <f t="shared" si="32"/>
        <v>65.62</v>
      </c>
      <c r="BU19" s="21">
        <f t="shared" si="33"/>
        <v>1837.3600000000001</v>
      </c>
      <c r="BV19" s="21">
        <f t="shared" si="34"/>
        <v>0</v>
      </c>
      <c r="BW19" s="21">
        <f t="shared" si="35"/>
        <v>1837.3600000000001</v>
      </c>
      <c r="BX19" s="22">
        <f t="shared" si="36"/>
        <v>0</v>
      </c>
      <c r="BY19" s="21">
        <f t="shared" si="37"/>
        <v>1640.5</v>
      </c>
      <c r="BZ19" s="23"/>
      <c r="CC19" s="23"/>
    </row>
    <row r="20" spans="1:81" x14ac:dyDescent="0.25">
      <c r="A20" s="10">
        <v>56701</v>
      </c>
      <c r="B20" s="32">
        <v>56701</v>
      </c>
      <c r="C20" s="32"/>
      <c r="D20" t="s">
        <v>69</v>
      </c>
      <c r="E20" t="s">
        <v>253</v>
      </c>
      <c r="F20" t="s">
        <v>142</v>
      </c>
      <c r="G20" t="s">
        <v>143</v>
      </c>
      <c r="I20" s="30">
        <v>125275865</v>
      </c>
      <c r="J20" s="11"/>
      <c r="K20" s="11"/>
      <c r="L20" s="11"/>
      <c r="M20" s="12">
        <v>0</v>
      </c>
      <c r="N20" s="11"/>
      <c r="O20" s="11"/>
      <c r="P20" s="12">
        <v>0</v>
      </c>
      <c r="Q20" s="11"/>
      <c r="R20" s="11"/>
      <c r="S20" s="12">
        <v>0</v>
      </c>
      <c r="T20" s="12"/>
      <c r="U20" s="12"/>
      <c r="V20" s="12">
        <v>0</v>
      </c>
      <c r="W20" s="12"/>
      <c r="X20" s="12"/>
      <c r="Y20" s="12">
        <v>0</v>
      </c>
      <c r="Z20" s="11" t="s">
        <v>90</v>
      </c>
      <c r="AA20" s="11">
        <v>2015</v>
      </c>
      <c r="AB20" s="11" t="s">
        <v>91</v>
      </c>
      <c r="AC20" s="11" t="s">
        <v>262</v>
      </c>
      <c r="AD20" s="11" t="s">
        <v>263</v>
      </c>
      <c r="AE20" s="11" t="s">
        <v>264</v>
      </c>
      <c r="AF20" s="11" t="s">
        <v>78</v>
      </c>
      <c r="AG20" s="11" t="s">
        <v>265</v>
      </c>
      <c r="AH20" s="11" t="s">
        <v>266</v>
      </c>
      <c r="AI20" s="11" t="s">
        <v>267</v>
      </c>
      <c r="AJ20" s="11" t="s">
        <v>251</v>
      </c>
      <c r="AK20" s="11"/>
      <c r="AL20" s="11" t="s">
        <v>84</v>
      </c>
      <c r="AM20" s="12">
        <v>0</v>
      </c>
      <c r="AN20" s="25" t="s">
        <v>268</v>
      </c>
      <c r="AO20" s="11" t="s">
        <v>269</v>
      </c>
      <c r="AP20" s="11" t="s">
        <v>270</v>
      </c>
      <c r="AQ20" s="11"/>
      <c r="AR20" s="11" t="s">
        <v>271</v>
      </c>
      <c r="AS20" s="13">
        <v>96</v>
      </c>
      <c r="AT20" s="12">
        <v>25.5</v>
      </c>
      <c r="AU20" s="12">
        <v>0</v>
      </c>
      <c r="AV20" s="12">
        <v>850</v>
      </c>
      <c r="AW20" s="12">
        <v>0</v>
      </c>
      <c r="AX20" s="12">
        <v>400</v>
      </c>
      <c r="AY20" s="12">
        <v>0</v>
      </c>
      <c r="AZ20" s="12">
        <v>0</v>
      </c>
      <c r="BA20" s="12">
        <v>0</v>
      </c>
      <c r="BB20" s="12">
        <v>0</v>
      </c>
      <c r="BC20" s="12"/>
      <c r="BD20" s="14"/>
      <c r="BE20" s="15">
        <f t="shared" si="17"/>
        <v>45938</v>
      </c>
      <c r="BF20" s="16">
        <f t="shared" si="18"/>
        <v>0.79975694444146939</v>
      </c>
      <c r="BG20" s="17">
        <f t="shared" si="19"/>
        <v>850</v>
      </c>
      <c r="BH20" s="18">
        <f t="shared" si="20"/>
        <v>96</v>
      </c>
      <c r="BI20" s="19">
        <f t="shared" si="21"/>
        <v>25.5</v>
      </c>
      <c r="BJ20" s="17">
        <f t="shared" si="22"/>
        <v>3298</v>
      </c>
      <c r="BK20" s="17">
        <f t="shared" si="23"/>
        <v>0</v>
      </c>
      <c r="BL20" s="17">
        <f t="shared" si="24"/>
        <v>400</v>
      </c>
      <c r="BM20" s="17">
        <f t="shared" si="25"/>
        <v>0</v>
      </c>
      <c r="BN20" s="17">
        <f t="shared" si="26"/>
        <v>0</v>
      </c>
      <c r="BO20" s="17">
        <f t="shared" si="27"/>
        <v>0</v>
      </c>
      <c r="BP20" s="17">
        <f t="shared" si="28"/>
        <v>0</v>
      </c>
      <c r="BQ20" s="20">
        <f t="shared" si="29"/>
        <v>3698</v>
      </c>
      <c r="BR20" s="17">
        <f t="shared" si="30"/>
        <v>591.68000000000006</v>
      </c>
      <c r="BS20" s="17">
        <f t="shared" si="31"/>
        <v>4289.68</v>
      </c>
      <c r="BT20" s="21">
        <f t="shared" si="32"/>
        <v>147.92000000000002</v>
      </c>
      <c r="BU20" s="21">
        <f t="shared" si="33"/>
        <v>4141.76</v>
      </c>
      <c r="BV20" s="21">
        <f t="shared" si="34"/>
        <v>0</v>
      </c>
      <c r="BW20" s="21">
        <f t="shared" si="35"/>
        <v>4141.76</v>
      </c>
      <c r="BX20" s="22">
        <f t="shared" si="36"/>
        <v>0</v>
      </c>
      <c r="BY20" s="21">
        <f t="shared" si="37"/>
        <v>3698</v>
      </c>
      <c r="BZ20" s="23"/>
      <c r="CC20" s="23"/>
    </row>
    <row r="21" spans="1:81" x14ac:dyDescent="0.25">
      <c r="A21" s="10">
        <v>56829</v>
      </c>
      <c r="B21" s="32">
        <v>56829</v>
      </c>
      <c r="C21" s="32"/>
      <c r="D21" t="s">
        <v>69</v>
      </c>
      <c r="E21" t="s">
        <v>272</v>
      </c>
      <c r="F21" t="s">
        <v>142</v>
      </c>
      <c r="G21" t="s">
        <v>273</v>
      </c>
      <c r="H21" t="s">
        <v>143</v>
      </c>
      <c r="I21" s="30">
        <v>125277220</v>
      </c>
      <c r="J21" s="11"/>
      <c r="K21" s="11"/>
      <c r="L21" s="11"/>
      <c r="M21" s="12">
        <v>0</v>
      </c>
      <c r="N21" s="11"/>
      <c r="O21" s="11"/>
      <c r="P21" s="12">
        <v>0</v>
      </c>
      <c r="Q21" s="11"/>
      <c r="R21" s="11"/>
      <c r="S21" s="12">
        <v>0</v>
      </c>
      <c r="T21" s="12"/>
      <c r="U21" s="12"/>
      <c r="V21" s="12">
        <v>0</v>
      </c>
      <c r="W21" s="12"/>
      <c r="X21" s="12"/>
      <c r="Y21" s="12">
        <v>0</v>
      </c>
      <c r="Z21" s="11" t="s">
        <v>247</v>
      </c>
      <c r="AA21" s="11">
        <v>2012</v>
      </c>
      <c r="AB21" s="11" t="s">
        <v>74</v>
      </c>
      <c r="AC21" s="11" t="s">
        <v>274</v>
      </c>
      <c r="AD21" s="11" t="s">
        <v>275</v>
      </c>
      <c r="AE21" s="11" t="s">
        <v>276</v>
      </c>
      <c r="AF21" s="11" t="s">
        <v>78</v>
      </c>
      <c r="AG21" s="11" t="s">
        <v>277</v>
      </c>
      <c r="AH21" s="11" t="s">
        <v>278</v>
      </c>
      <c r="AI21" s="11" t="s">
        <v>190</v>
      </c>
      <c r="AJ21" s="11" t="s">
        <v>279</v>
      </c>
      <c r="AK21" s="11" t="s">
        <v>88</v>
      </c>
      <c r="AL21" s="11" t="s">
        <v>84</v>
      </c>
      <c r="AM21" s="12">
        <v>0</v>
      </c>
      <c r="AN21" s="25">
        <v>45940.344444444447</v>
      </c>
      <c r="AO21" s="25">
        <v>45940.388344907406</v>
      </c>
      <c r="AP21" s="25">
        <v>45940.404745370368</v>
      </c>
      <c r="AQ21" s="11">
        <v>11</v>
      </c>
      <c r="AR21" s="11" t="s">
        <v>280</v>
      </c>
      <c r="AS21" s="13">
        <v>21</v>
      </c>
      <c r="AT21" s="12">
        <v>25.5</v>
      </c>
      <c r="AU21" s="12">
        <v>0</v>
      </c>
      <c r="AV21" s="12">
        <v>850</v>
      </c>
      <c r="AW21" s="12">
        <v>0</v>
      </c>
      <c r="AX21" s="12">
        <v>0</v>
      </c>
      <c r="AY21" s="12">
        <v>0</v>
      </c>
      <c r="AZ21" s="12">
        <v>0</v>
      </c>
      <c r="BA21" s="12">
        <v>1385.5</v>
      </c>
      <c r="BB21" s="12">
        <v>0</v>
      </c>
      <c r="BC21" s="12">
        <v>1385.5</v>
      </c>
      <c r="BD21" s="14"/>
      <c r="BE21" s="15">
        <f t="shared" si="17"/>
        <v>45940</v>
      </c>
      <c r="BF21" s="16">
        <f t="shared" si="18"/>
        <v>0.38834490740555339</v>
      </c>
      <c r="BG21" s="17">
        <f t="shared" si="19"/>
        <v>850</v>
      </c>
      <c r="BH21" s="18">
        <f t="shared" si="20"/>
        <v>21</v>
      </c>
      <c r="BI21" s="19">
        <f t="shared" si="21"/>
        <v>25.5</v>
      </c>
      <c r="BJ21" s="17">
        <f t="shared" si="22"/>
        <v>1385.5</v>
      </c>
      <c r="BK21" s="17">
        <f t="shared" si="23"/>
        <v>0</v>
      </c>
      <c r="BL21" s="17">
        <f t="shared" si="24"/>
        <v>0</v>
      </c>
      <c r="BM21" s="17">
        <f t="shared" si="25"/>
        <v>0</v>
      </c>
      <c r="BN21" s="17">
        <f t="shared" si="26"/>
        <v>0</v>
      </c>
      <c r="BO21" s="17">
        <f t="shared" si="27"/>
        <v>0</v>
      </c>
      <c r="BP21" s="17">
        <f t="shared" si="28"/>
        <v>0</v>
      </c>
      <c r="BQ21" s="20">
        <f t="shared" si="29"/>
        <v>1385.5</v>
      </c>
      <c r="BR21" s="17">
        <f t="shared" si="30"/>
        <v>221.68</v>
      </c>
      <c r="BS21" s="17">
        <f t="shared" si="31"/>
        <v>1607.18</v>
      </c>
      <c r="BT21" s="21">
        <f t="shared" si="32"/>
        <v>55.42</v>
      </c>
      <c r="BU21" s="21">
        <f t="shared" si="33"/>
        <v>1551.76</v>
      </c>
      <c r="BV21" s="21">
        <f t="shared" si="34"/>
        <v>0</v>
      </c>
      <c r="BW21" s="21">
        <f t="shared" si="35"/>
        <v>1551.76</v>
      </c>
      <c r="BX21" s="22">
        <f t="shared" si="36"/>
        <v>0</v>
      </c>
      <c r="BY21" s="21">
        <f t="shared" si="37"/>
        <v>1385.5</v>
      </c>
      <c r="BZ21" s="23"/>
      <c r="CC21" s="23"/>
    </row>
    <row r="22" spans="1:81" x14ac:dyDescent="0.25">
      <c r="A22" s="11">
        <v>56840</v>
      </c>
      <c r="B22" s="32">
        <v>56840</v>
      </c>
      <c r="C22" s="32"/>
      <c r="D22" t="s">
        <v>69</v>
      </c>
      <c r="E22" t="s">
        <v>281</v>
      </c>
      <c r="F22" t="s">
        <v>142</v>
      </c>
      <c r="G22" t="s">
        <v>273</v>
      </c>
      <c r="H22" t="s">
        <v>143</v>
      </c>
      <c r="I22" s="30">
        <v>125277385</v>
      </c>
      <c r="J22" s="11"/>
      <c r="K22" s="11"/>
      <c r="L22" s="11"/>
      <c r="M22" s="12">
        <v>0</v>
      </c>
      <c r="N22" s="11"/>
      <c r="O22" s="11"/>
      <c r="P22" s="12">
        <v>0</v>
      </c>
      <c r="Q22" s="11"/>
      <c r="R22" s="11"/>
      <c r="S22" s="12">
        <v>0</v>
      </c>
      <c r="T22" s="12"/>
      <c r="U22" s="12"/>
      <c r="V22" s="12">
        <v>0</v>
      </c>
      <c r="W22" s="12"/>
      <c r="X22" s="12"/>
      <c r="Y22" s="12">
        <v>0</v>
      </c>
      <c r="Z22" s="11" t="s">
        <v>282</v>
      </c>
      <c r="AA22" s="11">
        <v>2023</v>
      </c>
      <c r="AB22" s="11" t="s">
        <v>283</v>
      </c>
      <c r="AC22" s="11" t="s">
        <v>284</v>
      </c>
      <c r="AD22" s="11" t="s">
        <v>285</v>
      </c>
      <c r="AE22" s="11" t="s">
        <v>286</v>
      </c>
      <c r="AF22" s="11" t="s">
        <v>78</v>
      </c>
      <c r="AG22" s="11" t="s">
        <v>287</v>
      </c>
      <c r="AH22" s="11" t="s">
        <v>109</v>
      </c>
      <c r="AI22" s="11" t="s">
        <v>110</v>
      </c>
      <c r="AJ22" s="11" t="s">
        <v>251</v>
      </c>
      <c r="AK22" s="11" t="s">
        <v>88</v>
      </c>
      <c r="AL22" s="11" t="s">
        <v>84</v>
      </c>
      <c r="AM22" s="12">
        <v>0</v>
      </c>
      <c r="AN22" s="25">
        <v>45940.462500000001</v>
      </c>
      <c r="AO22" s="25">
        <v>45940.496157407411</v>
      </c>
      <c r="AP22" s="25">
        <v>45940.552303240736</v>
      </c>
      <c r="AQ22" s="11">
        <v>36</v>
      </c>
      <c r="AR22" s="11" t="s">
        <v>288</v>
      </c>
      <c r="AS22" s="13">
        <v>65</v>
      </c>
      <c r="AT22" s="12">
        <v>25.5</v>
      </c>
      <c r="AU22" s="12">
        <v>0</v>
      </c>
      <c r="AV22" s="12">
        <v>850</v>
      </c>
      <c r="AW22" s="12">
        <v>0</v>
      </c>
      <c r="AX22" s="12">
        <v>700</v>
      </c>
      <c r="AY22" s="12">
        <v>0</v>
      </c>
      <c r="AZ22" s="12">
        <v>1000</v>
      </c>
      <c r="BA22" s="12">
        <v>2507.5</v>
      </c>
      <c r="BB22" s="12">
        <v>0</v>
      </c>
      <c r="BC22" s="12">
        <v>4207.5</v>
      </c>
      <c r="BD22" s="14"/>
      <c r="BE22" s="15">
        <f t="shared" si="17"/>
        <v>45940</v>
      </c>
      <c r="BF22" s="16">
        <f t="shared" si="18"/>
        <v>0.49615740741137415</v>
      </c>
      <c r="BG22" s="17">
        <f t="shared" si="19"/>
        <v>850</v>
      </c>
      <c r="BH22" s="18">
        <f t="shared" si="20"/>
        <v>65</v>
      </c>
      <c r="BI22" s="19">
        <f t="shared" si="21"/>
        <v>25.5</v>
      </c>
      <c r="BJ22" s="17">
        <f t="shared" si="22"/>
        <v>2507.5</v>
      </c>
      <c r="BK22" s="17">
        <f t="shared" si="23"/>
        <v>0</v>
      </c>
      <c r="BL22" s="17">
        <f t="shared" si="24"/>
        <v>700</v>
      </c>
      <c r="BM22" s="17">
        <f t="shared" si="25"/>
        <v>0</v>
      </c>
      <c r="BN22" s="17">
        <f t="shared" si="26"/>
        <v>1000</v>
      </c>
      <c r="BO22" s="17">
        <f t="shared" si="27"/>
        <v>0</v>
      </c>
      <c r="BP22" s="17">
        <f t="shared" si="28"/>
        <v>0</v>
      </c>
      <c r="BQ22" s="20">
        <f t="shared" si="29"/>
        <v>4207.5</v>
      </c>
      <c r="BR22" s="17">
        <f t="shared" si="30"/>
        <v>673.2</v>
      </c>
      <c r="BS22" s="17">
        <f t="shared" si="31"/>
        <v>4880.7</v>
      </c>
      <c r="BT22" s="21">
        <f t="shared" si="32"/>
        <v>168.3</v>
      </c>
      <c r="BU22" s="21">
        <f t="shared" si="33"/>
        <v>4712.3999999999996</v>
      </c>
      <c r="BV22" s="21">
        <f t="shared" si="34"/>
        <v>0</v>
      </c>
      <c r="BW22" s="21">
        <f t="shared" si="35"/>
        <v>4712.3999999999996</v>
      </c>
      <c r="BX22" s="22">
        <f t="shared" si="36"/>
        <v>0</v>
      </c>
      <c r="BY22" s="21">
        <f t="shared" si="37"/>
        <v>4207.5</v>
      </c>
      <c r="BZ22" s="23"/>
      <c r="CC22" s="23"/>
    </row>
    <row r="23" spans="1:81" x14ac:dyDescent="0.25">
      <c r="A23" s="11">
        <v>56852</v>
      </c>
      <c r="B23" s="32">
        <v>56852</v>
      </c>
      <c r="C23" s="32"/>
      <c r="D23" t="s">
        <v>69</v>
      </c>
      <c r="E23" t="s">
        <v>253</v>
      </c>
      <c r="F23" t="s">
        <v>142</v>
      </c>
      <c r="G23" t="s">
        <v>273</v>
      </c>
      <c r="H23" t="s">
        <v>143</v>
      </c>
      <c r="I23" s="30">
        <v>125277679</v>
      </c>
      <c r="J23" s="11"/>
      <c r="K23" s="11"/>
      <c r="L23" s="11"/>
      <c r="M23" s="12">
        <v>0</v>
      </c>
      <c r="N23" s="11"/>
      <c r="O23" s="11"/>
      <c r="P23" s="12">
        <v>0</v>
      </c>
      <c r="Q23" s="11"/>
      <c r="R23" s="11"/>
      <c r="S23" s="12">
        <v>0</v>
      </c>
      <c r="T23" s="12"/>
      <c r="U23" s="12"/>
      <c r="V23" s="12">
        <v>0</v>
      </c>
      <c r="W23" s="12"/>
      <c r="X23" s="12"/>
      <c r="Y23" s="12">
        <v>0</v>
      </c>
      <c r="Z23" s="11" t="s">
        <v>247</v>
      </c>
      <c r="AA23" s="11">
        <v>2018</v>
      </c>
      <c r="AB23" s="11" t="s">
        <v>289</v>
      </c>
      <c r="AC23" s="11" t="s">
        <v>290</v>
      </c>
      <c r="AD23" s="11" t="s">
        <v>291</v>
      </c>
      <c r="AE23" s="11" t="s">
        <v>292</v>
      </c>
      <c r="AF23" s="11" t="s">
        <v>78</v>
      </c>
      <c r="AG23" s="11" t="s">
        <v>293</v>
      </c>
      <c r="AH23" s="11" t="s">
        <v>278</v>
      </c>
      <c r="AI23" s="11" t="s">
        <v>190</v>
      </c>
      <c r="AJ23" s="11" t="s">
        <v>251</v>
      </c>
      <c r="AK23" s="11" t="s">
        <v>88</v>
      </c>
      <c r="AL23" s="11" t="s">
        <v>84</v>
      </c>
      <c r="AM23" s="12">
        <v>0</v>
      </c>
      <c r="AN23" s="25">
        <v>45940.608333333337</v>
      </c>
      <c r="AO23" s="25">
        <v>45940.643923611111</v>
      </c>
      <c r="AP23" s="25">
        <v>45940.709756944445</v>
      </c>
      <c r="AQ23" s="11">
        <v>32</v>
      </c>
      <c r="AR23" s="11" t="s">
        <v>294</v>
      </c>
      <c r="AS23" s="13">
        <v>30</v>
      </c>
      <c r="AT23" s="12">
        <v>25.5</v>
      </c>
      <c r="AU23" s="12">
        <v>0</v>
      </c>
      <c r="AV23" s="12">
        <v>850</v>
      </c>
      <c r="AW23" s="12">
        <v>0</v>
      </c>
      <c r="AX23" s="12">
        <v>280</v>
      </c>
      <c r="AY23" s="12">
        <v>0</v>
      </c>
      <c r="AZ23" s="12">
        <v>800</v>
      </c>
      <c r="BA23" s="12">
        <v>1615</v>
      </c>
      <c r="BB23" s="12">
        <v>0</v>
      </c>
      <c r="BC23" s="12">
        <v>2695</v>
      </c>
      <c r="BD23" s="14"/>
      <c r="BE23" s="15">
        <f t="shared" si="17"/>
        <v>45940</v>
      </c>
      <c r="BF23" s="16">
        <f t="shared" si="18"/>
        <v>0.64392361111094942</v>
      </c>
      <c r="BG23" s="17">
        <f t="shared" si="19"/>
        <v>850</v>
      </c>
      <c r="BH23" s="18">
        <f t="shared" si="20"/>
        <v>30</v>
      </c>
      <c r="BI23" s="19">
        <f t="shared" si="21"/>
        <v>25.5</v>
      </c>
      <c r="BJ23" s="17">
        <f t="shared" si="22"/>
        <v>1615</v>
      </c>
      <c r="BK23" s="17">
        <f t="shared" si="23"/>
        <v>0</v>
      </c>
      <c r="BL23" s="17">
        <f t="shared" si="24"/>
        <v>280</v>
      </c>
      <c r="BM23" s="17">
        <f t="shared" si="25"/>
        <v>0</v>
      </c>
      <c r="BN23" s="17">
        <f t="shared" si="26"/>
        <v>800</v>
      </c>
      <c r="BO23" s="17">
        <f t="shared" si="27"/>
        <v>0</v>
      </c>
      <c r="BP23" s="17">
        <f t="shared" si="28"/>
        <v>0</v>
      </c>
      <c r="BQ23" s="20">
        <f t="shared" si="29"/>
        <v>2695</v>
      </c>
      <c r="BR23" s="17">
        <f t="shared" si="30"/>
        <v>431.2</v>
      </c>
      <c r="BS23" s="17">
        <f t="shared" si="31"/>
        <v>3126.2</v>
      </c>
      <c r="BT23" s="21">
        <f t="shared" si="32"/>
        <v>107.8</v>
      </c>
      <c r="BU23" s="21">
        <f t="shared" si="33"/>
        <v>3018.3999999999996</v>
      </c>
      <c r="BV23" s="21">
        <f t="shared" si="34"/>
        <v>0</v>
      </c>
      <c r="BW23" s="21">
        <f t="shared" si="35"/>
        <v>3018.3999999999996</v>
      </c>
      <c r="BX23" s="22">
        <f t="shared" si="36"/>
        <v>0</v>
      </c>
      <c r="BY23" s="21">
        <f t="shared" si="37"/>
        <v>2695</v>
      </c>
      <c r="BZ23" s="23"/>
      <c r="CC23" s="23"/>
    </row>
    <row r="24" spans="1:81" x14ac:dyDescent="0.25">
      <c r="A24" s="10">
        <v>56896</v>
      </c>
      <c r="B24" s="32">
        <v>56896</v>
      </c>
      <c r="C24" s="32"/>
      <c r="D24" t="s">
        <v>69</v>
      </c>
      <c r="E24" t="s">
        <v>234</v>
      </c>
      <c r="F24" t="s">
        <v>142</v>
      </c>
      <c r="G24" t="s">
        <v>273</v>
      </c>
      <c r="H24" t="s">
        <v>295</v>
      </c>
      <c r="I24" s="30">
        <v>125278262</v>
      </c>
      <c r="J24" s="11"/>
      <c r="K24" s="11"/>
      <c r="L24" s="11"/>
      <c r="M24" s="12">
        <v>0</v>
      </c>
      <c r="N24" s="11"/>
      <c r="O24" s="11"/>
      <c r="P24" s="12">
        <v>0</v>
      </c>
      <c r="Q24" s="11"/>
      <c r="R24" s="11"/>
      <c r="S24" s="12">
        <v>0</v>
      </c>
      <c r="T24" s="12"/>
      <c r="U24" s="12"/>
      <c r="V24" s="12">
        <v>0</v>
      </c>
      <c r="W24" s="12"/>
      <c r="X24" s="12"/>
      <c r="Y24" s="12">
        <v>0</v>
      </c>
      <c r="Z24" s="11" t="s">
        <v>90</v>
      </c>
      <c r="AA24" s="11">
        <v>2019</v>
      </c>
      <c r="AB24" s="11" t="s">
        <v>74</v>
      </c>
      <c r="AC24" s="11" t="s">
        <v>296</v>
      </c>
      <c r="AD24" s="11" t="s">
        <v>297</v>
      </c>
      <c r="AE24" s="11" t="s">
        <v>298</v>
      </c>
      <c r="AF24" s="11" t="s">
        <v>78</v>
      </c>
      <c r="AG24" s="11" t="s">
        <v>299</v>
      </c>
      <c r="AH24" s="11" t="s">
        <v>109</v>
      </c>
      <c r="AI24" s="11" t="s">
        <v>110</v>
      </c>
      <c r="AJ24" s="11" t="s">
        <v>99</v>
      </c>
      <c r="AK24" s="11" t="s">
        <v>88</v>
      </c>
      <c r="AL24" s="11" t="s">
        <v>84</v>
      </c>
      <c r="AM24" s="12">
        <v>0</v>
      </c>
      <c r="AN24" s="25">
        <v>45940.994444444441</v>
      </c>
      <c r="AO24" s="25">
        <v>45941.006608796291</v>
      </c>
      <c r="AP24" s="25">
        <v>45941.021770833337</v>
      </c>
      <c r="AQ24" s="11">
        <v>0</v>
      </c>
      <c r="AR24" s="11" t="s">
        <v>300</v>
      </c>
      <c r="AS24" s="13">
        <v>3</v>
      </c>
      <c r="AT24" s="12">
        <v>0</v>
      </c>
      <c r="AU24" s="12">
        <v>0</v>
      </c>
      <c r="AV24" s="12">
        <v>650</v>
      </c>
      <c r="AW24" s="12">
        <v>0</v>
      </c>
      <c r="AX24" s="12">
        <v>0</v>
      </c>
      <c r="AY24" s="12">
        <v>0</v>
      </c>
      <c r="AZ24" s="12">
        <v>0</v>
      </c>
      <c r="BA24" s="12">
        <v>650</v>
      </c>
      <c r="BB24" s="12">
        <v>0</v>
      </c>
      <c r="BC24" s="12">
        <v>650</v>
      </c>
      <c r="BD24" s="14"/>
      <c r="BE24" s="15">
        <f t="shared" si="17"/>
        <v>45941</v>
      </c>
      <c r="BF24" s="16">
        <f t="shared" si="18"/>
        <v>6.6087962914025411E-3</v>
      </c>
      <c r="BG24" s="17">
        <f t="shared" si="19"/>
        <v>650</v>
      </c>
      <c r="BH24" s="18">
        <f t="shared" si="20"/>
        <v>3</v>
      </c>
      <c r="BI24" s="19">
        <f t="shared" si="21"/>
        <v>0</v>
      </c>
      <c r="BJ24" s="17">
        <f t="shared" si="22"/>
        <v>650</v>
      </c>
      <c r="BK24" s="17">
        <f t="shared" si="23"/>
        <v>0</v>
      </c>
      <c r="BL24" s="17">
        <f t="shared" si="24"/>
        <v>0</v>
      </c>
      <c r="BM24" s="17">
        <f t="shared" si="25"/>
        <v>0</v>
      </c>
      <c r="BN24" s="17">
        <f t="shared" si="26"/>
        <v>0</v>
      </c>
      <c r="BO24" s="17">
        <f t="shared" si="27"/>
        <v>0</v>
      </c>
      <c r="BP24" s="17">
        <f t="shared" si="28"/>
        <v>0</v>
      </c>
      <c r="BQ24" s="20">
        <f t="shared" si="29"/>
        <v>650</v>
      </c>
      <c r="BR24" s="17">
        <f t="shared" si="30"/>
        <v>104</v>
      </c>
      <c r="BS24" s="17">
        <f t="shared" si="31"/>
        <v>754</v>
      </c>
      <c r="BT24" s="21">
        <f t="shared" si="32"/>
        <v>26</v>
      </c>
      <c r="BU24" s="21">
        <f t="shared" si="33"/>
        <v>728</v>
      </c>
      <c r="BV24" s="21">
        <f t="shared" si="34"/>
        <v>0</v>
      </c>
      <c r="BW24" s="21">
        <f t="shared" si="35"/>
        <v>728</v>
      </c>
      <c r="BX24" s="22">
        <f t="shared" si="36"/>
        <v>0</v>
      </c>
      <c r="BY24" s="21">
        <f t="shared" si="37"/>
        <v>650</v>
      </c>
      <c r="BZ24" s="23"/>
      <c r="CC24" s="23"/>
    </row>
    <row r="25" spans="1:81" x14ac:dyDescent="0.25">
      <c r="A25" s="10">
        <v>56941</v>
      </c>
      <c r="B25" s="32">
        <v>56941</v>
      </c>
      <c r="C25" s="32"/>
      <c r="D25" t="s">
        <v>69</v>
      </c>
      <c r="E25" t="s">
        <v>141</v>
      </c>
      <c r="F25" t="s">
        <v>142</v>
      </c>
      <c r="G25" t="s">
        <v>273</v>
      </c>
      <c r="H25" t="s">
        <v>143</v>
      </c>
      <c r="I25" s="30">
        <v>125278680</v>
      </c>
      <c r="J25" s="11"/>
      <c r="K25" s="11"/>
      <c r="L25" s="11"/>
      <c r="M25" s="12">
        <v>0</v>
      </c>
      <c r="N25" s="11"/>
      <c r="O25" s="11"/>
      <c r="P25" s="12">
        <v>0</v>
      </c>
      <c r="Q25" s="11"/>
      <c r="R25" s="11"/>
      <c r="S25" s="12">
        <v>0</v>
      </c>
      <c r="T25" s="12"/>
      <c r="U25" s="12"/>
      <c r="V25" s="12">
        <v>0</v>
      </c>
      <c r="W25" s="12"/>
      <c r="X25" s="12"/>
      <c r="Y25" s="12">
        <v>0</v>
      </c>
      <c r="Z25" s="11" t="s">
        <v>301</v>
      </c>
      <c r="AA25" s="11">
        <v>2016</v>
      </c>
      <c r="AB25" s="11" t="s">
        <v>74</v>
      </c>
      <c r="AC25" s="11" t="s">
        <v>302</v>
      </c>
      <c r="AD25" s="11" t="s">
        <v>303</v>
      </c>
      <c r="AE25" s="11" t="s">
        <v>304</v>
      </c>
      <c r="AF25" s="11" t="s">
        <v>78</v>
      </c>
      <c r="AG25" s="11" t="s">
        <v>305</v>
      </c>
      <c r="AH25" s="11" t="s">
        <v>306</v>
      </c>
      <c r="AI25" s="11" t="s">
        <v>209</v>
      </c>
      <c r="AJ25" s="11" t="s">
        <v>82</v>
      </c>
      <c r="AK25" s="11" t="s">
        <v>88</v>
      </c>
      <c r="AL25" s="11" t="s">
        <v>84</v>
      </c>
      <c r="AM25" s="12">
        <v>0</v>
      </c>
      <c r="AN25" s="25">
        <v>45941.602777777778</v>
      </c>
      <c r="AO25" s="25">
        <v>45941.618356481486</v>
      </c>
      <c r="AP25" s="25">
        <v>45941.732662037037</v>
      </c>
      <c r="AQ25" s="11">
        <v>44</v>
      </c>
      <c r="AR25" s="11" t="s">
        <v>307</v>
      </c>
      <c r="AS25" s="13">
        <v>50</v>
      </c>
      <c r="AT25" s="12">
        <v>25.5</v>
      </c>
      <c r="AU25" s="12">
        <v>0</v>
      </c>
      <c r="AV25" s="12">
        <v>850</v>
      </c>
      <c r="AW25" s="12">
        <v>0</v>
      </c>
      <c r="AX25" s="12">
        <v>379.31</v>
      </c>
      <c r="AY25" s="12">
        <v>0</v>
      </c>
      <c r="AZ25" s="12">
        <v>500</v>
      </c>
      <c r="BA25" s="12">
        <v>2125</v>
      </c>
      <c r="BB25" s="12">
        <v>0</v>
      </c>
      <c r="BC25" s="12">
        <v>3004.31</v>
      </c>
      <c r="BD25" s="14"/>
      <c r="BE25" s="15">
        <f t="shared" si="17"/>
        <v>45941</v>
      </c>
      <c r="BF25" s="16">
        <f t="shared" si="18"/>
        <v>0.61835648148553446</v>
      </c>
      <c r="BG25" s="17">
        <f t="shared" si="19"/>
        <v>850</v>
      </c>
      <c r="BH25" s="18">
        <f t="shared" si="20"/>
        <v>50</v>
      </c>
      <c r="BI25" s="19">
        <f t="shared" si="21"/>
        <v>25.5</v>
      </c>
      <c r="BJ25" s="17">
        <f t="shared" si="22"/>
        <v>2125</v>
      </c>
      <c r="BK25" s="17">
        <f t="shared" si="23"/>
        <v>0</v>
      </c>
      <c r="BL25" s="17">
        <f t="shared" si="24"/>
        <v>379.31</v>
      </c>
      <c r="BM25" s="17">
        <f t="shared" si="25"/>
        <v>0</v>
      </c>
      <c r="BN25" s="17">
        <f t="shared" si="26"/>
        <v>500</v>
      </c>
      <c r="BO25" s="17">
        <f t="shared" si="27"/>
        <v>0</v>
      </c>
      <c r="BP25" s="17">
        <f t="shared" si="28"/>
        <v>0</v>
      </c>
      <c r="BQ25" s="20">
        <f t="shared" si="29"/>
        <v>3004.31</v>
      </c>
      <c r="BR25" s="17">
        <f t="shared" si="30"/>
        <v>480.68959999999998</v>
      </c>
      <c r="BS25" s="17">
        <f t="shared" si="31"/>
        <v>3484.9996000000001</v>
      </c>
      <c r="BT25" s="21">
        <f t="shared" si="32"/>
        <v>120.1724</v>
      </c>
      <c r="BU25" s="21">
        <f t="shared" si="33"/>
        <v>3364.8272000000002</v>
      </c>
      <c r="BV25" s="21">
        <f t="shared" si="34"/>
        <v>0</v>
      </c>
      <c r="BW25" s="21">
        <f t="shared" si="35"/>
        <v>3364.8272000000002</v>
      </c>
      <c r="BX25" s="22">
        <f t="shared" si="36"/>
        <v>0</v>
      </c>
      <c r="BY25" s="21">
        <f t="shared" si="37"/>
        <v>3004.31</v>
      </c>
      <c r="BZ25" s="23"/>
      <c r="CC25" s="23"/>
    </row>
    <row r="26" spans="1:81" x14ac:dyDescent="0.25">
      <c r="A26" s="10">
        <v>56959</v>
      </c>
      <c r="B26" s="32">
        <v>56959</v>
      </c>
      <c r="C26" s="32"/>
      <c r="D26" t="s">
        <v>69</v>
      </c>
      <c r="E26" t="s">
        <v>141</v>
      </c>
      <c r="F26" t="s">
        <v>142</v>
      </c>
      <c r="G26" t="s">
        <v>273</v>
      </c>
      <c r="H26" t="s">
        <v>143</v>
      </c>
      <c r="I26" s="30">
        <v>125278931</v>
      </c>
      <c r="J26" s="11"/>
      <c r="K26" s="11"/>
      <c r="L26" s="11"/>
      <c r="M26" s="12">
        <v>0</v>
      </c>
      <c r="N26" s="11"/>
      <c r="O26" s="11"/>
      <c r="P26" s="12">
        <v>0</v>
      </c>
      <c r="Q26" s="11"/>
      <c r="R26" s="11"/>
      <c r="S26" s="12">
        <v>0</v>
      </c>
      <c r="T26" s="12"/>
      <c r="U26" s="12"/>
      <c r="V26" s="12">
        <v>0</v>
      </c>
      <c r="W26" s="12"/>
      <c r="X26" s="12"/>
      <c r="Y26" s="12">
        <v>0</v>
      </c>
      <c r="Z26" s="11" t="s">
        <v>308</v>
      </c>
      <c r="AA26" s="11">
        <v>2016</v>
      </c>
      <c r="AB26" s="11" t="s">
        <v>167</v>
      </c>
      <c r="AC26" s="11" t="s">
        <v>309</v>
      </c>
      <c r="AD26" s="11" t="s">
        <v>310</v>
      </c>
      <c r="AE26" s="11" t="s">
        <v>311</v>
      </c>
      <c r="AF26" s="11" t="s">
        <v>78</v>
      </c>
      <c r="AG26" s="11" t="s">
        <v>312</v>
      </c>
      <c r="AH26" s="11" t="s">
        <v>313</v>
      </c>
      <c r="AI26" s="11" t="s">
        <v>110</v>
      </c>
      <c r="AJ26" s="11" t="s">
        <v>99</v>
      </c>
      <c r="AK26" s="11" t="s">
        <v>88</v>
      </c>
      <c r="AL26" s="11" t="s">
        <v>84</v>
      </c>
      <c r="AM26" s="12">
        <v>0</v>
      </c>
      <c r="AN26" s="25">
        <v>45941.888888888891</v>
      </c>
      <c r="AO26" s="25">
        <v>45941.91070601852</v>
      </c>
      <c r="AP26" s="25">
        <v>45941.942361111112</v>
      </c>
      <c r="AQ26" s="11">
        <v>0</v>
      </c>
      <c r="AR26" s="11" t="s">
        <v>314</v>
      </c>
      <c r="AS26" s="13">
        <v>13</v>
      </c>
      <c r="AT26" s="12">
        <v>25.5</v>
      </c>
      <c r="AU26" s="12">
        <v>0</v>
      </c>
      <c r="AV26" s="12">
        <v>850</v>
      </c>
      <c r="AW26" s="12">
        <v>0</v>
      </c>
      <c r="AX26" s="12">
        <v>0</v>
      </c>
      <c r="AY26" s="12">
        <v>0</v>
      </c>
      <c r="AZ26" s="12">
        <v>0</v>
      </c>
      <c r="BA26" s="12">
        <v>1181.5</v>
      </c>
      <c r="BB26" s="12">
        <v>0</v>
      </c>
      <c r="BC26" s="12">
        <v>1181.5</v>
      </c>
      <c r="BD26" s="14"/>
      <c r="BE26" s="15">
        <f t="shared" si="17"/>
        <v>45941</v>
      </c>
      <c r="BF26" s="16">
        <f t="shared" si="18"/>
        <v>0.91070601851970423</v>
      </c>
      <c r="BG26" s="17">
        <f t="shared" si="19"/>
        <v>850</v>
      </c>
      <c r="BH26" s="18">
        <f t="shared" si="20"/>
        <v>13</v>
      </c>
      <c r="BI26" s="19">
        <f t="shared" si="21"/>
        <v>25.5</v>
      </c>
      <c r="BJ26" s="17">
        <f t="shared" si="22"/>
        <v>1181.5</v>
      </c>
      <c r="BK26" s="17">
        <f t="shared" si="23"/>
        <v>0</v>
      </c>
      <c r="BL26" s="17">
        <f t="shared" si="24"/>
        <v>0</v>
      </c>
      <c r="BM26" s="17">
        <f t="shared" si="25"/>
        <v>0</v>
      </c>
      <c r="BN26" s="17">
        <f t="shared" si="26"/>
        <v>0</v>
      </c>
      <c r="BO26" s="17">
        <f t="shared" si="27"/>
        <v>0</v>
      </c>
      <c r="BP26" s="17">
        <f t="shared" si="28"/>
        <v>0</v>
      </c>
      <c r="BQ26" s="20">
        <f t="shared" si="29"/>
        <v>1181.5</v>
      </c>
      <c r="BR26" s="17">
        <f t="shared" si="30"/>
        <v>189.04</v>
      </c>
      <c r="BS26" s="17">
        <f t="shared" si="31"/>
        <v>1370.54</v>
      </c>
      <c r="BT26" s="21">
        <f t="shared" si="32"/>
        <v>47.26</v>
      </c>
      <c r="BU26" s="21">
        <f t="shared" si="33"/>
        <v>1323.28</v>
      </c>
      <c r="BV26" s="21">
        <f t="shared" si="34"/>
        <v>0</v>
      </c>
      <c r="BW26" s="21">
        <f t="shared" si="35"/>
        <v>1323.28</v>
      </c>
      <c r="BX26" s="22">
        <f t="shared" si="36"/>
        <v>0</v>
      </c>
      <c r="BY26" s="21">
        <f t="shared" si="37"/>
        <v>1181.5</v>
      </c>
      <c r="BZ26" s="23"/>
      <c r="CC26" s="23"/>
    </row>
    <row r="27" spans="1:81" x14ac:dyDescent="0.25">
      <c r="A27" s="10">
        <v>56966</v>
      </c>
      <c r="B27" s="32">
        <v>56966</v>
      </c>
      <c r="C27" s="32"/>
      <c r="D27" t="s">
        <v>69</v>
      </c>
      <c r="E27" t="s">
        <v>141</v>
      </c>
      <c r="F27" t="s">
        <v>142</v>
      </c>
      <c r="G27" t="s">
        <v>273</v>
      </c>
      <c r="H27" t="s">
        <v>143</v>
      </c>
      <c r="I27" s="30">
        <v>125278966</v>
      </c>
      <c r="J27" s="11"/>
      <c r="K27" s="11"/>
      <c r="L27" s="11"/>
      <c r="M27" s="12">
        <v>0</v>
      </c>
      <c r="N27" s="11"/>
      <c r="O27" s="11"/>
      <c r="P27" s="12">
        <v>0</v>
      </c>
      <c r="Q27" s="11"/>
      <c r="R27" s="11"/>
      <c r="S27" s="12">
        <v>0</v>
      </c>
      <c r="T27" s="12"/>
      <c r="U27" s="12"/>
      <c r="V27" s="12">
        <v>0</v>
      </c>
      <c r="W27" s="12"/>
      <c r="X27" s="12"/>
      <c r="Y27" s="12">
        <v>0</v>
      </c>
      <c r="Z27" s="11" t="s">
        <v>247</v>
      </c>
      <c r="AA27" s="11">
        <v>2018</v>
      </c>
      <c r="AB27" s="11" t="s">
        <v>120</v>
      </c>
      <c r="AC27" s="11" t="s">
        <v>315</v>
      </c>
      <c r="AD27" s="11" t="s">
        <v>316</v>
      </c>
      <c r="AE27" s="11" t="s">
        <v>317</v>
      </c>
      <c r="AF27" s="11" t="s">
        <v>78</v>
      </c>
      <c r="AG27" s="11" t="s">
        <v>318</v>
      </c>
      <c r="AH27" s="11" t="s">
        <v>228</v>
      </c>
      <c r="AI27" s="11" t="s">
        <v>229</v>
      </c>
      <c r="AJ27" s="11" t="s">
        <v>99</v>
      </c>
      <c r="AK27" s="11" t="s">
        <v>88</v>
      </c>
      <c r="AL27" s="11" t="s">
        <v>84</v>
      </c>
      <c r="AM27" s="12">
        <v>0</v>
      </c>
      <c r="AN27" s="25">
        <v>45942.009027777778</v>
      </c>
      <c r="AO27" s="25">
        <v>45942.050613425927</v>
      </c>
      <c r="AP27" s="25">
        <v>45942.157326388886</v>
      </c>
      <c r="AQ27" s="11">
        <v>0</v>
      </c>
      <c r="AR27" s="11" t="s">
        <v>319</v>
      </c>
      <c r="AS27" s="13">
        <v>62</v>
      </c>
      <c r="AT27" s="12">
        <v>25.5</v>
      </c>
      <c r="AU27" s="12">
        <v>0</v>
      </c>
      <c r="AV27" s="12">
        <v>850</v>
      </c>
      <c r="AW27" s="12">
        <v>300</v>
      </c>
      <c r="AX27" s="12">
        <v>800</v>
      </c>
      <c r="AY27" s="12">
        <v>0</v>
      </c>
      <c r="AZ27" s="12">
        <v>0</v>
      </c>
      <c r="BA27" s="12">
        <v>2431</v>
      </c>
      <c r="BB27" s="12">
        <v>0</v>
      </c>
      <c r="BC27" s="12">
        <v>3531</v>
      </c>
      <c r="BD27" s="14"/>
      <c r="BE27" s="15">
        <f t="shared" si="17"/>
        <v>45942</v>
      </c>
      <c r="BF27" s="16">
        <f t="shared" si="18"/>
        <v>5.0613425926712807E-2</v>
      </c>
      <c r="BG27" s="17">
        <f t="shared" si="19"/>
        <v>850</v>
      </c>
      <c r="BH27" s="18">
        <f t="shared" si="20"/>
        <v>62</v>
      </c>
      <c r="BI27" s="19">
        <f t="shared" si="21"/>
        <v>25.5</v>
      </c>
      <c r="BJ27" s="17">
        <f t="shared" si="22"/>
        <v>2431</v>
      </c>
      <c r="BK27" s="17">
        <f t="shared" si="23"/>
        <v>300</v>
      </c>
      <c r="BL27" s="17">
        <f t="shared" si="24"/>
        <v>800</v>
      </c>
      <c r="BM27" s="17">
        <f t="shared" si="25"/>
        <v>0</v>
      </c>
      <c r="BN27" s="17">
        <f t="shared" si="26"/>
        <v>0</v>
      </c>
      <c r="BO27" s="17">
        <f t="shared" si="27"/>
        <v>0</v>
      </c>
      <c r="BP27" s="17">
        <f t="shared" si="28"/>
        <v>0</v>
      </c>
      <c r="BQ27" s="20">
        <f t="shared" si="29"/>
        <v>3531</v>
      </c>
      <c r="BR27" s="17">
        <f t="shared" si="30"/>
        <v>564.96</v>
      </c>
      <c r="BS27" s="17">
        <f t="shared" si="31"/>
        <v>4095.96</v>
      </c>
      <c r="BT27" s="21">
        <f t="shared" si="32"/>
        <v>141.24</v>
      </c>
      <c r="BU27" s="21">
        <f t="shared" si="33"/>
        <v>3954.7200000000003</v>
      </c>
      <c r="BV27" s="21">
        <f t="shared" si="34"/>
        <v>0</v>
      </c>
      <c r="BW27" s="21">
        <f t="shared" si="35"/>
        <v>3954.7200000000003</v>
      </c>
      <c r="BX27" s="22">
        <f t="shared" si="36"/>
        <v>0</v>
      </c>
      <c r="BY27" s="21">
        <f t="shared" si="37"/>
        <v>3531</v>
      </c>
      <c r="BZ27" s="23"/>
      <c r="CC27" s="23"/>
    </row>
    <row r="28" spans="1:81" x14ac:dyDescent="0.25">
      <c r="A28" s="11">
        <v>57010</v>
      </c>
      <c r="B28" s="32">
        <v>57010</v>
      </c>
      <c r="C28" s="32"/>
      <c r="D28" t="s">
        <v>69</v>
      </c>
      <c r="E28" t="s">
        <v>70</v>
      </c>
      <c r="F28" t="s">
        <v>142</v>
      </c>
      <c r="G28" t="s">
        <v>273</v>
      </c>
      <c r="H28" t="s">
        <v>143</v>
      </c>
      <c r="I28" s="30">
        <v>125279262</v>
      </c>
      <c r="J28" s="11"/>
      <c r="K28" s="11"/>
      <c r="L28" s="11"/>
      <c r="M28" s="12">
        <v>0</v>
      </c>
      <c r="N28" s="11"/>
      <c r="O28" s="11"/>
      <c r="P28" s="12">
        <v>0</v>
      </c>
      <c r="Q28" s="11"/>
      <c r="R28" s="11"/>
      <c r="S28" s="12">
        <v>0</v>
      </c>
      <c r="T28" s="12"/>
      <c r="U28" s="12"/>
      <c r="V28" s="12">
        <v>0</v>
      </c>
      <c r="W28" s="12"/>
      <c r="X28" s="12"/>
      <c r="Y28" s="12">
        <v>0</v>
      </c>
      <c r="Z28" s="11" t="s">
        <v>282</v>
      </c>
      <c r="AA28" s="11">
        <v>2016</v>
      </c>
      <c r="AB28" s="11" t="s">
        <v>132</v>
      </c>
      <c r="AC28" s="11" t="s">
        <v>320</v>
      </c>
      <c r="AD28" s="11" t="s">
        <v>321</v>
      </c>
      <c r="AE28" s="11" t="s">
        <v>322</v>
      </c>
      <c r="AF28" s="11" t="s">
        <v>78</v>
      </c>
      <c r="AG28" s="11" t="s">
        <v>323</v>
      </c>
      <c r="AH28" s="11" t="s">
        <v>97</v>
      </c>
      <c r="AI28" s="11" t="s">
        <v>324</v>
      </c>
      <c r="AJ28" s="11" t="s">
        <v>325</v>
      </c>
      <c r="AK28" s="11" t="s">
        <v>88</v>
      </c>
      <c r="AL28" s="11" t="s">
        <v>84</v>
      </c>
      <c r="AM28" s="12">
        <v>0</v>
      </c>
      <c r="AN28" s="25">
        <v>45942.727777777778</v>
      </c>
      <c r="AO28" s="25">
        <v>45942.762048611112</v>
      </c>
      <c r="AP28" s="25">
        <v>45942.814895833333</v>
      </c>
      <c r="AQ28" s="11">
        <v>63</v>
      </c>
      <c r="AR28" s="11" t="s">
        <v>326</v>
      </c>
      <c r="AS28" s="13">
        <v>86</v>
      </c>
      <c r="AT28" s="12">
        <v>25.5</v>
      </c>
      <c r="AU28" s="12">
        <v>0</v>
      </c>
      <c r="AV28" s="12">
        <v>850</v>
      </c>
      <c r="AW28" s="12">
        <v>0</v>
      </c>
      <c r="AX28" s="12">
        <v>517.24</v>
      </c>
      <c r="AY28" s="12">
        <v>0</v>
      </c>
      <c r="AZ28" s="12">
        <v>0</v>
      </c>
      <c r="BA28" s="12">
        <v>3043</v>
      </c>
      <c r="BB28" s="12">
        <v>1000</v>
      </c>
      <c r="BC28" s="12">
        <v>4560.24</v>
      </c>
      <c r="BD28" s="14"/>
      <c r="BE28" s="15">
        <f t="shared" si="17"/>
        <v>45942</v>
      </c>
      <c r="BF28" s="16">
        <f t="shared" si="18"/>
        <v>0.76204861111182254</v>
      </c>
      <c r="BG28" s="17">
        <f t="shared" si="19"/>
        <v>850</v>
      </c>
      <c r="BH28" s="18">
        <f t="shared" si="20"/>
        <v>86</v>
      </c>
      <c r="BI28" s="19">
        <f t="shared" si="21"/>
        <v>25.5</v>
      </c>
      <c r="BJ28" s="17">
        <f t="shared" si="22"/>
        <v>3043</v>
      </c>
      <c r="BK28" s="17">
        <f t="shared" si="23"/>
        <v>0</v>
      </c>
      <c r="BL28" s="17">
        <f t="shared" si="24"/>
        <v>517.24</v>
      </c>
      <c r="BM28" s="17">
        <f t="shared" si="25"/>
        <v>0</v>
      </c>
      <c r="BN28" s="17">
        <f t="shared" si="26"/>
        <v>0</v>
      </c>
      <c r="BO28" s="17">
        <f t="shared" si="27"/>
        <v>1000</v>
      </c>
      <c r="BP28" s="17">
        <f t="shared" si="28"/>
        <v>0</v>
      </c>
      <c r="BQ28" s="20">
        <f t="shared" si="29"/>
        <v>4560.24</v>
      </c>
      <c r="BR28" s="17">
        <f t="shared" si="30"/>
        <v>729.63839999999993</v>
      </c>
      <c r="BS28" s="17">
        <f t="shared" si="31"/>
        <v>5289.8783999999996</v>
      </c>
      <c r="BT28" s="21">
        <f t="shared" si="32"/>
        <v>182.40959999999998</v>
      </c>
      <c r="BU28" s="21">
        <f t="shared" si="33"/>
        <v>5107.4687999999996</v>
      </c>
      <c r="BV28" s="21">
        <f t="shared" si="34"/>
        <v>0</v>
      </c>
      <c r="BW28" s="21">
        <f t="shared" si="35"/>
        <v>5107.4687999999996</v>
      </c>
      <c r="BX28" s="22">
        <f t="shared" si="36"/>
        <v>0</v>
      </c>
      <c r="BY28" s="21">
        <f t="shared" si="37"/>
        <v>4560.24</v>
      </c>
      <c r="BZ28" s="23"/>
      <c r="CC28" s="23"/>
    </row>
    <row r="29" spans="1:81" x14ac:dyDescent="0.25">
      <c r="A29" s="10">
        <v>57051</v>
      </c>
      <c r="B29" s="32">
        <v>57051</v>
      </c>
      <c r="C29" s="32"/>
      <c r="D29" t="s">
        <v>69</v>
      </c>
      <c r="E29" t="s">
        <v>141</v>
      </c>
      <c r="F29" t="s">
        <v>142</v>
      </c>
      <c r="G29" t="s">
        <v>273</v>
      </c>
      <c r="H29" t="s">
        <v>295</v>
      </c>
      <c r="I29" s="30">
        <v>125278966</v>
      </c>
      <c r="J29" s="11"/>
      <c r="K29" s="26"/>
      <c r="L29" s="26"/>
      <c r="M29" s="12">
        <v>0</v>
      </c>
      <c r="N29" s="11"/>
      <c r="O29" s="11"/>
      <c r="P29" s="12">
        <v>0</v>
      </c>
      <c r="Q29" s="11"/>
      <c r="R29" s="11"/>
      <c r="S29" s="12">
        <v>0</v>
      </c>
      <c r="T29" s="12"/>
      <c r="U29" s="12"/>
      <c r="V29" s="12">
        <v>0</v>
      </c>
      <c r="W29" s="12"/>
      <c r="X29" s="12"/>
      <c r="Y29" s="12">
        <v>0</v>
      </c>
      <c r="Z29" s="11" t="s">
        <v>120</v>
      </c>
      <c r="AA29" s="11">
        <v>2018</v>
      </c>
      <c r="AB29" s="11" t="s">
        <v>120</v>
      </c>
      <c r="AC29" s="11" t="s">
        <v>327</v>
      </c>
      <c r="AD29" s="11" t="s">
        <v>317</v>
      </c>
      <c r="AE29" s="11" t="s">
        <v>328</v>
      </c>
      <c r="AF29" s="11" t="s">
        <v>78</v>
      </c>
      <c r="AG29" s="11" t="s">
        <v>318</v>
      </c>
      <c r="AH29" s="11" t="s">
        <v>329</v>
      </c>
      <c r="AI29" s="11" t="s">
        <v>267</v>
      </c>
      <c r="AJ29" s="11" t="s">
        <v>82</v>
      </c>
      <c r="AK29" s="11" t="s">
        <v>88</v>
      </c>
      <c r="AL29" s="11" t="s">
        <v>84</v>
      </c>
      <c r="AM29" s="12">
        <v>0</v>
      </c>
      <c r="AN29" s="25">
        <v>45943.290277777778</v>
      </c>
      <c r="AO29" s="25">
        <v>45943.333194444444</v>
      </c>
      <c r="AP29" s="25">
        <v>45943.38663194445</v>
      </c>
      <c r="AQ29" s="11">
        <v>0</v>
      </c>
      <c r="AR29" s="11" t="s">
        <v>330</v>
      </c>
      <c r="AS29" s="13">
        <v>12</v>
      </c>
      <c r="AT29" s="12">
        <v>0</v>
      </c>
      <c r="AU29" s="12">
        <v>0</v>
      </c>
      <c r="AV29" s="12">
        <v>800</v>
      </c>
      <c r="AW29" s="12">
        <v>0</v>
      </c>
      <c r="AX29" s="12">
        <v>0</v>
      </c>
      <c r="AY29" s="12">
        <v>0</v>
      </c>
      <c r="AZ29" s="12">
        <v>0</v>
      </c>
      <c r="BA29" s="12">
        <v>800</v>
      </c>
      <c r="BB29" s="12">
        <v>0</v>
      </c>
      <c r="BC29" s="12">
        <v>800</v>
      </c>
      <c r="BD29" s="14"/>
      <c r="BE29" s="15">
        <f t="shared" si="17"/>
        <v>45943</v>
      </c>
      <c r="BF29" s="16">
        <f t="shared" si="18"/>
        <v>0.33319444444350665</v>
      </c>
      <c r="BG29" s="17">
        <f t="shared" si="19"/>
        <v>800</v>
      </c>
      <c r="BH29" s="18">
        <f t="shared" si="20"/>
        <v>12</v>
      </c>
      <c r="BI29" s="19">
        <f t="shared" si="21"/>
        <v>0</v>
      </c>
      <c r="BJ29" s="17">
        <f t="shared" si="22"/>
        <v>800</v>
      </c>
      <c r="BK29" s="17">
        <f t="shared" si="23"/>
        <v>0</v>
      </c>
      <c r="BL29" s="17">
        <f t="shared" si="24"/>
        <v>0</v>
      </c>
      <c r="BM29" s="17">
        <f t="shared" si="25"/>
        <v>0</v>
      </c>
      <c r="BN29" s="17">
        <f t="shared" si="26"/>
        <v>0</v>
      </c>
      <c r="BO29" s="17">
        <f t="shared" si="27"/>
        <v>0</v>
      </c>
      <c r="BP29" s="17">
        <f t="shared" si="28"/>
        <v>0</v>
      </c>
      <c r="BQ29" s="20">
        <f t="shared" si="29"/>
        <v>800</v>
      </c>
      <c r="BR29" s="17">
        <f t="shared" si="30"/>
        <v>128</v>
      </c>
      <c r="BS29" s="17">
        <f t="shared" si="31"/>
        <v>928</v>
      </c>
      <c r="BT29" s="21">
        <f t="shared" si="32"/>
        <v>32</v>
      </c>
      <c r="BU29" s="21">
        <f t="shared" si="33"/>
        <v>896</v>
      </c>
      <c r="BV29" s="21">
        <f t="shared" si="34"/>
        <v>0</v>
      </c>
      <c r="BW29" s="21">
        <f t="shared" si="35"/>
        <v>896</v>
      </c>
      <c r="BX29" s="22">
        <f t="shared" si="36"/>
        <v>0</v>
      </c>
      <c r="BY29" s="21">
        <f t="shared" si="37"/>
        <v>800</v>
      </c>
      <c r="BZ29" s="23"/>
      <c r="CC29" s="23"/>
    </row>
    <row r="30" spans="1:81" x14ac:dyDescent="0.25">
      <c r="A30" s="10">
        <v>57081</v>
      </c>
      <c r="B30" s="32">
        <v>57081</v>
      </c>
      <c r="C30" s="32"/>
      <c r="D30" t="s">
        <v>69</v>
      </c>
      <c r="E30" t="s">
        <v>235</v>
      </c>
      <c r="F30" t="s">
        <v>142</v>
      </c>
      <c r="G30" t="s">
        <v>273</v>
      </c>
      <c r="H30" t="s">
        <v>143</v>
      </c>
      <c r="I30" s="30">
        <v>125280173</v>
      </c>
      <c r="J30" s="11"/>
      <c r="K30" s="11"/>
      <c r="L30" s="11"/>
      <c r="M30" s="12">
        <v>0</v>
      </c>
      <c r="N30" s="11"/>
      <c r="O30" s="11"/>
      <c r="P30" s="12">
        <v>0</v>
      </c>
      <c r="Q30" s="11"/>
      <c r="R30" s="11"/>
      <c r="S30" s="12">
        <v>0</v>
      </c>
      <c r="T30" s="12"/>
      <c r="U30" s="12"/>
      <c r="V30" s="12">
        <v>0</v>
      </c>
      <c r="W30" s="12"/>
      <c r="X30" s="12"/>
      <c r="Y30" s="12">
        <v>0</v>
      </c>
      <c r="Z30" s="11" t="s">
        <v>235</v>
      </c>
      <c r="AA30" s="11">
        <v>2026</v>
      </c>
      <c r="AB30" s="11" t="s">
        <v>74</v>
      </c>
      <c r="AC30" s="11" t="s">
        <v>331</v>
      </c>
      <c r="AD30" s="11" t="s">
        <v>332</v>
      </c>
      <c r="AE30" s="11" t="s">
        <v>333</v>
      </c>
      <c r="AF30" s="11" t="s">
        <v>78</v>
      </c>
      <c r="AG30" s="11" t="s">
        <v>334</v>
      </c>
      <c r="AH30" s="11" t="s">
        <v>80</v>
      </c>
      <c r="AI30" s="11" t="s">
        <v>190</v>
      </c>
      <c r="AJ30" s="11" t="s">
        <v>325</v>
      </c>
      <c r="AK30" s="11" t="s">
        <v>88</v>
      </c>
      <c r="AL30" s="11" t="s">
        <v>84</v>
      </c>
      <c r="AM30" s="12">
        <v>0</v>
      </c>
      <c r="AN30" s="25">
        <v>45943.63680555555</v>
      </c>
      <c r="AO30" s="25">
        <v>45943.676539351851</v>
      </c>
      <c r="AP30" s="25">
        <v>45943.731354166666</v>
      </c>
      <c r="AQ30" s="11">
        <v>36</v>
      </c>
      <c r="AR30" s="11" t="s">
        <v>335</v>
      </c>
      <c r="AS30" s="13">
        <v>43</v>
      </c>
      <c r="AT30" s="12">
        <v>25.5</v>
      </c>
      <c r="AU30" s="12">
        <v>0</v>
      </c>
      <c r="AV30" s="12">
        <v>850</v>
      </c>
      <c r="AW30" s="12">
        <v>0</v>
      </c>
      <c r="AX30" s="12">
        <v>241.38</v>
      </c>
      <c r="AY30" s="12">
        <v>0</v>
      </c>
      <c r="AZ30" s="12">
        <v>0</v>
      </c>
      <c r="BA30" s="12">
        <v>1946.5</v>
      </c>
      <c r="BB30" s="12">
        <v>0</v>
      </c>
      <c r="BC30" s="12">
        <v>2187.88</v>
      </c>
      <c r="BD30" s="14"/>
      <c r="BE30" s="15">
        <f t="shared" si="17"/>
        <v>45943</v>
      </c>
      <c r="BF30" s="16">
        <f t="shared" si="18"/>
        <v>0.67653935185080627</v>
      </c>
      <c r="BG30" s="17">
        <f t="shared" si="19"/>
        <v>850</v>
      </c>
      <c r="BH30" s="18">
        <f t="shared" si="20"/>
        <v>43</v>
      </c>
      <c r="BI30" s="19">
        <f t="shared" si="21"/>
        <v>25.5</v>
      </c>
      <c r="BJ30" s="17">
        <f t="shared" si="22"/>
        <v>1946.5</v>
      </c>
      <c r="BK30" s="17">
        <f t="shared" si="23"/>
        <v>0</v>
      </c>
      <c r="BL30" s="17">
        <f t="shared" si="24"/>
        <v>241.38</v>
      </c>
      <c r="BM30" s="17">
        <f t="shared" si="25"/>
        <v>0</v>
      </c>
      <c r="BN30" s="17">
        <f t="shared" si="26"/>
        <v>0</v>
      </c>
      <c r="BO30" s="17">
        <f t="shared" si="27"/>
        <v>0</v>
      </c>
      <c r="BP30" s="17">
        <f t="shared" si="28"/>
        <v>0</v>
      </c>
      <c r="BQ30" s="20">
        <f t="shared" si="29"/>
        <v>2187.88</v>
      </c>
      <c r="BR30" s="17">
        <f t="shared" si="30"/>
        <v>350.06080000000003</v>
      </c>
      <c r="BS30" s="17">
        <f t="shared" si="31"/>
        <v>2537.9408000000003</v>
      </c>
      <c r="BT30" s="21">
        <f t="shared" si="32"/>
        <v>87.515200000000007</v>
      </c>
      <c r="BU30" s="21">
        <f t="shared" si="33"/>
        <v>2450.4256000000005</v>
      </c>
      <c r="BV30" s="21">
        <f t="shared" si="34"/>
        <v>0</v>
      </c>
      <c r="BW30" s="21">
        <f t="shared" si="35"/>
        <v>2450.4256000000005</v>
      </c>
      <c r="BX30" s="22">
        <f t="shared" si="36"/>
        <v>0</v>
      </c>
      <c r="BY30" s="21">
        <f t="shared" si="37"/>
        <v>2187.88</v>
      </c>
      <c r="BZ30" s="23"/>
      <c r="CC30" s="23"/>
    </row>
    <row r="31" spans="1:81" x14ac:dyDescent="0.25">
      <c r="A31" s="10">
        <v>57114</v>
      </c>
      <c r="B31" s="32">
        <v>57114</v>
      </c>
      <c r="C31" s="32"/>
      <c r="D31" t="s">
        <v>69</v>
      </c>
      <c r="E31" t="s">
        <v>175</v>
      </c>
      <c r="F31" t="s">
        <v>142</v>
      </c>
      <c r="G31" t="s">
        <v>273</v>
      </c>
      <c r="H31" t="s">
        <v>143</v>
      </c>
      <c r="I31" s="30">
        <v>125280727</v>
      </c>
      <c r="J31" s="11"/>
      <c r="K31" s="11"/>
      <c r="L31" s="11"/>
      <c r="M31" s="12">
        <v>0</v>
      </c>
      <c r="N31" s="11"/>
      <c r="O31" s="11"/>
      <c r="P31" s="12">
        <v>0</v>
      </c>
      <c r="Q31" s="11"/>
      <c r="R31" s="11"/>
      <c r="S31" s="12">
        <v>0</v>
      </c>
      <c r="T31" s="12"/>
      <c r="U31" s="12"/>
      <c r="V31" s="12">
        <v>0</v>
      </c>
      <c r="W31" s="12"/>
      <c r="X31" s="12"/>
      <c r="Y31" s="12">
        <v>0</v>
      </c>
      <c r="Z31" s="11" t="s">
        <v>336</v>
      </c>
      <c r="AA31" s="11">
        <v>2021</v>
      </c>
      <c r="AB31" s="11" t="s">
        <v>120</v>
      </c>
      <c r="AC31" s="11" t="s">
        <v>337</v>
      </c>
      <c r="AD31" s="11" t="s">
        <v>338</v>
      </c>
      <c r="AE31" s="11" t="s">
        <v>339</v>
      </c>
      <c r="AF31" s="11" t="s">
        <v>78</v>
      </c>
      <c r="AG31" s="11" t="s">
        <v>340</v>
      </c>
      <c r="AH31" s="11" t="s">
        <v>341</v>
      </c>
      <c r="AI31" s="11" t="s">
        <v>324</v>
      </c>
      <c r="AJ31" s="11" t="s">
        <v>99</v>
      </c>
      <c r="AK31" s="11" t="s">
        <v>88</v>
      </c>
      <c r="AL31" s="11" t="s">
        <v>84</v>
      </c>
      <c r="AM31" s="12">
        <v>0</v>
      </c>
      <c r="AN31" s="25">
        <v>45943.95694444445</v>
      </c>
      <c r="AO31" s="25">
        <v>45943.969895833332</v>
      </c>
      <c r="AP31" s="25">
        <v>45944.025648148148</v>
      </c>
      <c r="AQ31" s="11">
        <v>0</v>
      </c>
      <c r="AR31" s="11" t="s">
        <v>342</v>
      </c>
      <c r="AS31" s="13">
        <v>35</v>
      </c>
      <c r="AT31" s="12">
        <v>25.5</v>
      </c>
      <c r="AU31" s="12">
        <v>0</v>
      </c>
      <c r="AV31" s="12">
        <v>850</v>
      </c>
      <c r="AW31" s="12">
        <v>0</v>
      </c>
      <c r="AX31" s="12">
        <v>250</v>
      </c>
      <c r="AY31" s="12">
        <v>0</v>
      </c>
      <c r="AZ31" s="12">
        <v>0</v>
      </c>
      <c r="BA31" s="12">
        <v>1742.5</v>
      </c>
      <c r="BB31" s="12">
        <v>0</v>
      </c>
      <c r="BC31" s="12">
        <v>1992.5</v>
      </c>
      <c r="BD31" s="14"/>
      <c r="BE31" s="15">
        <f t="shared" si="17"/>
        <v>45943</v>
      </c>
      <c r="BF31" s="16">
        <f t="shared" si="18"/>
        <v>0.96989583333197515</v>
      </c>
      <c r="BG31" s="17">
        <f t="shared" si="19"/>
        <v>850</v>
      </c>
      <c r="BH31" s="18">
        <f t="shared" si="20"/>
        <v>35</v>
      </c>
      <c r="BI31" s="19">
        <f t="shared" si="21"/>
        <v>25.5</v>
      </c>
      <c r="BJ31" s="17">
        <f t="shared" si="22"/>
        <v>1742.5</v>
      </c>
      <c r="BK31" s="17">
        <f t="shared" si="23"/>
        <v>0</v>
      </c>
      <c r="BL31" s="17">
        <f t="shared" si="24"/>
        <v>250</v>
      </c>
      <c r="BM31" s="17">
        <f t="shared" si="25"/>
        <v>0</v>
      </c>
      <c r="BN31" s="17">
        <f t="shared" si="26"/>
        <v>0</v>
      </c>
      <c r="BO31" s="17">
        <f t="shared" si="27"/>
        <v>0</v>
      </c>
      <c r="BP31" s="17">
        <f t="shared" si="28"/>
        <v>0</v>
      </c>
      <c r="BQ31" s="20">
        <f t="shared" si="29"/>
        <v>1992.5</v>
      </c>
      <c r="BR31" s="17">
        <f t="shared" si="30"/>
        <v>318.8</v>
      </c>
      <c r="BS31" s="17">
        <f t="shared" si="31"/>
        <v>2311.3000000000002</v>
      </c>
      <c r="BT31" s="21">
        <f t="shared" si="32"/>
        <v>79.7</v>
      </c>
      <c r="BU31" s="21">
        <f t="shared" si="33"/>
        <v>2231.6000000000004</v>
      </c>
      <c r="BV31" s="21">
        <f t="shared" si="34"/>
        <v>0</v>
      </c>
      <c r="BW31" s="21">
        <f t="shared" si="35"/>
        <v>2231.6000000000004</v>
      </c>
      <c r="BX31" s="22">
        <f t="shared" si="36"/>
        <v>0</v>
      </c>
      <c r="BY31" s="21">
        <f t="shared" si="37"/>
        <v>1992.5</v>
      </c>
      <c r="BZ31" s="23"/>
      <c r="CC31" s="23"/>
    </row>
    <row r="32" spans="1:81" x14ac:dyDescent="0.25">
      <c r="A32" s="10">
        <v>57119</v>
      </c>
      <c r="B32" s="32">
        <v>57119</v>
      </c>
      <c r="C32" s="32"/>
      <c r="D32" t="s">
        <v>69</v>
      </c>
      <c r="E32" t="s">
        <v>70</v>
      </c>
      <c r="F32" t="s">
        <v>142</v>
      </c>
      <c r="G32" t="s">
        <v>343</v>
      </c>
      <c r="H32" t="s">
        <v>143</v>
      </c>
      <c r="I32" s="30">
        <v>125280772</v>
      </c>
      <c r="J32" s="11"/>
      <c r="K32" s="11"/>
      <c r="L32" s="11"/>
      <c r="M32" s="12">
        <v>0</v>
      </c>
      <c r="N32" s="11"/>
      <c r="O32" s="11"/>
      <c r="P32" s="12">
        <v>0</v>
      </c>
      <c r="Q32" s="11"/>
      <c r="R32" s="11"/>
      <c r="S32" s="12">
        <v>0</v>
      </c>
      <c r="T32" s="12"/>
      <c r="U32" s="12"/>
      <c r="V32" s="12">
        <v>0</v>
      </c>
      <c r="W32" s="12"/>
      <c r="X32" s="12"/>
      <c r="Y32" s="12">
        <v>0</v>
      </c>
      <c r="Z32" s="11" t="s">
        <v>344</v>
      </c>
      <c r="AA32" s="11">
        <v>2011</v>
      </c>
      <c r="AB32" s="11" t="s">
        <v>289</v>
      </c>
      <c r="AC32" s="11" t="s">
        <v>345</v>
      </c>
      <c r="AD32" s="11" t="s">
        <v>346</v>
      </c>
      <c r="AE32" s="11" t="s">
        <v>347</v>
      </c>
      <c r="AF32" s="11" t="s">
        <v>78</v>
      </c>
      <c r="AG32" s="11" t="s">
        <v>348</v>
      </c>
      <c r="AH32" s="11" t="s">
        <v>159</v>
      </c>
      <c r="AI32" s="11" t="s">
        <v>160</v>
      </c>
      <c r="AJ32" s="11" t="s">
        <v>99</v>
      </c>
      <c r="AK32" s="11" t="s">
        <v>88</v>
      </c>
      <c r="AL32" s="11" t="s">
        <v>84</v>
      </c>
      <c r="AM32" s="12">
        <v>2709.58</v>
      </c>
      <c r="AN32" s="25">
        <v>45944.075694444444</v>
      </c>
      <c r="AO32" s="25">
        <v>45944.140439814815</v>
      </c>
      <c r="AP32" s="25">
        <v>45944.19903935185</v>
      </c>
      <c r="AQ32" s="11">
        <v>0</v>
      </c>
      <c r="AR32" s="11" t="s">
        <v>349</v>
      </c>
      <c r="AS32" s="13">
        <v>77</v>
      </c>
      <c r="AT32" s="12">
        <v>73.540000000000006</v>
      </c>
      <c r="AU32" s="12">
        <v>0</v>
      </c>
      <c r="AV32" s="12">
        <v>2149.66</v>
      </c>
      <c r="AW32" s="12">
        <v>0</v>
      </c>
      <c r="AX32" s="12">
        <v>1600</v>
      </c>
      <c r="AY32" s="12">
        <v>0</v>
      </c>
      <c r="AZ32" s="12">
        <v>1100</v>
      </c>
      <c r="BA32" s="12">
        <v>7812.24</v>
      </c>
      <c r="BB32" s="12">
        <v>0</v>
      </c>
      <c r="BC32" s="12">
        <v>10512.24</v>
      </c>
      <c r="BD32" s="14"/>
      <c r="BE32" s="15">
        <f t="shared" si="17"/>
        <v>45944</v>
      </c>
      <c r="BF32" s="16">
        <f t="shared" si="18"/>
        <v>0.14043981481518131</v>
      </c>
      <c r="BG32" s="17">
        <f t="shared" si="19"/>
        <v>2149.66</v>
      </c>
      <c r="BH32" s="18">
        <f t="shared" si="20"/>
        <v>77</v>
      </c>
      <c r="BI32" s="19">
        <f t="shared" si="21"/>
        <v>73.540000000000006</v>
      </c>
      <c r="BJ32" s="17">
        <f t="shared" si="22"/>
        <v>7812.2400000000007</v>
      </c>
      <c r="BK32" s="17">
        <f t="shared" si="23"/>
        <v>0</v>
      </c>
      <c r="BL32" s="17">
        <f t="shared" si="24"/>
        <v>1600</v>
      </c>
      <c r="BM32" s="17">
        <f t="shared" si="25"/>
        <v>0</v>
      </c>
      <c r="BN32" s="17">
        <f t="shared" si="26"/>
        <v>1100</v>
      </c>
      <c r="BO32" s="17">
        <f t="shared" si="27"/>
        <v>0</v>
      </c>
      <c r="BP32" s="17">
        <f t="shared" si="28"/>
        <v>2709.58</v>
      </c>
      <c r="BQ32" s="20">
        <f t="shared" si="29"/>
        <v>7802.6600000000017</v>
      </c>
      <c r="BR32" s="17">
        <f t="shared" si="30"/>
        <v>1248.4256000000003</v>
      </c>
      <c r="BS32" s="17">
        <f t="shared" si="31"/>
        <v>9051.0856000000022</v>
      </c>
      <c r="BT32" s="21">
        <f t="shared" si="32"/>
        <v>312.10640000000006</v>
      </c>
      <c r="BU32" s="21">
        <f t="shared" si="33"/>
        <v>8738.9792000000016</v>
      </c>
      <c r="BV32" s="21">
        <f t="shared" si="34"/>
        <v>3143.1127999999999</v>
      </c>
      <c r="BW32" s="21">
        <f t="shared" si="35"/>
        <v>11882.092000000001</v>
      </c>
      <c r="BX32" s="22">
        <f t="shared" si="36"/>
        <v>0</v>
      </c>
      <c r="BY32" s="21">
        <f t="shared" si="37"/>
        <v>7802.6600000000017</v>
      </c>
      <c r="BZ32" s="23"/>
      <c r="CC32" s="23"/>
    </row>
    <row r="33" spans="1:81" x14ac:dyDescent="0.25">
      <c r="A33" s="11">
        <v>57187</v>
      </c>
      <c r="B33" s="32">
        <v>57187</v>
      </c>
      <c r="C33" s="32"/>
      <c r="D33" t="s">
        <v>69</v>
      </c>
      <c r="E33" t="s">
        <v>350</v>
      </c>
      <c r="F33" t="s">
        <v>165</v>
      </c>
      <c r="G33" t="s">
        <v>273</v>
      </c>
      <c r="H33" t="s">
        <v>143</v>
      </c>
      <c r="I33" s="30">
        <v>125281929</v>
      </c>
      <c r="J33" s="11"/>
      <c r="K33" s="11"/>
      <c r="L33" s="11"/>
      <c r="M33" s="12">
        <v>0</v>
      </c>
      <c r="N33" s="11"/>
      <c r="O33" s="11"/>
      <c r="P33" s="12">
        <v>0</v>
      </c>
      <c r="Q33" s="11"/>
      <c r="R33" s="11"/>
      <c r="S33" s="12">
        <v>0</v>
      </c>
      <c r="T33" s="12"/>
      <c r="U33" s="12"/>
      <c r="V33" s="12">
        <v>0</v>
      </c>
      <c r="W33" s="12"/>
      <c r="X33" s="12"/>
      <c r="Y33" s="12">
        <v>0</v>
      </c>
      <c r="Z33" s="11" t="s">
        <v>351</v>
      </c>
      <c r="AA33" s="11">
        <v>2023</v>
      </c>
      <c r="AB33" s="11" t="s">
        <v>132</v>
      </c>
      <c r="AC33" s="11" t="s">
        <v>133</v>
      </c>
      <c r="AD33" s="11" t="s">
        <v>352</v>
      </c>
      <c r="AE33" s="11" t="s">
        <v>353</v>
      </c>
      <c r="AF33" s="11" t="s">
        <v>78</v>
      </c>
      <c r="AG33" s="11" t="s">
        <v>354</v>
      </c>
      <c r="AH33" s="11" t="s">
        <v>109</v>
      </c>
      <c r="AI33" s="11" t="s">
        <v>110</v>
      </c>
      <c r="AJ33" s="11" t="s">
        <v>99</v>
      </c>
      <c r="AK33" s="11" t="s">
        <v>88</v>
      </c>
      <c r="AL33" s="11" t="s">
        <v>84</v>
      </c>
      <c r="AM33" s="12">
        <v>0</v>
      </c>
      <c r="AN33" s="25">
        <v>45944.990972222222</v>
      </c>
      <c r="AO33" s="25">
        <v>45944.990972222222</v>
      </c>
      <c r="AP33" s="25">
        <v>45944.990972222222</v>
      </c>
      <c r="AQ33" s="11">
        <v>0</v>
      </c>
      <c r="AR33" s="11" t="s">
        <v>355</v>
      </c>
      <c r="AS33" s="13">
        <v>0</v>
      </c>
      <c r="AT33" s="12">
        <v>0</v>
      </c>
      <c r="AU33" s="12">
        <v>0</v>
      </c>
      <c r="AV33" s="12">
        <v>425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4"/>
      <c r="BE33" s="15">
        <f t="shared" si="17"/>
        <v>45944</v>
      </c>
      <c r="BF33" s="16">
        <f t="shared" si="18"/>
        <v>0.99097222222189885</v>
      </c>
      <c r="BG33" s="17">
        <f t="shared" si="19"/>
        <v>425</v>
      </c>
      <c r="BH33" s="18">
        <f t="shared" si="20"/>
        <v>0</v>
      </c>
      <c r="BI33" s="19">
        <f t="shared" si="21"/>
        <v>0</v>
      </c>
      <c r="BJ33" s="17">
        <f t="shared" si="22"/>
        <v>425</v>
      </c>
      <c r="BK33" s="17">
        <f t="shared" si="23"/>
        <v>0</v>
      </c>
      <c r="BL33" s="17">
        <f t="shared" si="24"/>
        <v>0</v>
      </c>
      <c r="BM33" s="17">
        <f t="shared" si="25"/>
        <v>0</v>
      </c>
      <c r="BN33" s="17">
        <f t="shared" si="26"/>
        <v>0</v>
      </c>
      <c r="BO33" s="17">
        <f t="shared" si="27"/>
        <v>0</v>
      </c>
      <c r="BP33" s="17">
        <f t="shared" si="28"/>
        <v>0</v>
      </c>
      <c r="BQ33" s="20">
        <f t="shared" si="29"/>
        <v>425</v>
      </c>
      <c r="BR33" s="17">
        <f t="shared" si="30"/>
        <v>68</v>
      </c>
      <c r="BS33" s="17">
        <f t="shared" si="31"/>
        <v>493</v>
      </c>
      <c r="BT33" s="21">
        <f t="shared" si="32"/>
        <v>17</v>
      </c>
      <c r="BU33" s="21">
        <f t="shared" si="33"/>
        <v>476</v>
      </c>
      <c r="BV33" s="21">
        <f t="shared" si="34"/>
        <v>0</v>
      </c>
      <c r="BW33" s="21">
        <f t="shared" si="35"/>
        <v>476</v>
      </c>
      <c r="BX33" s="22">
        <f t="shared" si="36"/>
        <v>0</v>
      </c>
      <c r="BY33" s="21">
        <f t="shared" si="37"/>
        <v>425</v>
      </c>
      <c r="BZ33" s="23"/>
      <c r="CC33" s="23"/>
    </row>
    <row r="34" spans="1:81" x14ac:dyDescent="0.25">
      <c r="A34" s="10">
        <v>57228</v>
      </c>
      <c r="B34" s="32">
        <v>57228</v>
      </c>
      <c r="C34" s="32"/>
      <c r="D34" t="s">
        <v>69</v>
      </c>
      <c r="E34" t="s">
        <v>141</v>
      </c>
      <c r="F34" t="s">
        <v>142</v>
      </c>
      <c r="G34" t="s">
        <v>273</v>
      </c>
      <c r="H34" t="s">
        <v>143</v>
      </c>
      <c r="I34" s="30">
        <v>125282547</v>
      </c>
      <c r="J34" s="11"/>
      <c r="K34" s="11"/>
      <c r="L34" s="11"/>
      <c r="M34" s="12">
        <v>0</v>
      </c>
      <c r="N34" s="11"/>
      <c r="O34" s="11"/>
      <c r="P34" s="12">
        <v>0</v>
      </c>
      <c r="Q34" s="11"/>
      <c r="R34" s="11"/>
      <c r="S34" s="12">
        <v>0</v>
      </c>
      <c r="T34" s="12"/>
      <c r="U34" s="12"/>
      <c r="V34" s="12">
        <v>0</v>
      </c>
      <c r="W34" s="12"/>
      <c r="X34" s="12"/>
      <c r="Y34" s="12">
        <v>0</v>
      </c>
      <c r="Z34" s="11" t="s">
        <v>356</v>
      </c>
      <c r="AA34" s="11">
        <v>2014</v>
      </c>
      <c r="AB34" s="11" t="s">
        <v>74</v>
      </c>
      <c r="AC34" s="11" t="s">
        <v>357</v>
      </c>
      <c r="AD34" s="11" t="s">
        <v>358</v>
      </c>
      <c r="AE34" s="11" t="s">
        <v>359</v>
      </c>
      <c r="AF34" s="11" t="s">
        <v>78</v>
      </c>
      <c r="AG34" s="11" t="s">
        <v>360</v>
      </c>
      <c r="AH34" s="11" t="s">
        <v>361</v>
      </c>
      <c r="AI34" s="11" t="s">
        <v>241</v>
      </c>
      <c r="AJ34" s="11" t="s">
        <v>325</v>
      </c>
      <c r="AK34" s="11" t="s">
        <v>88</v>
      </c>
      <c r="AL34" s="11" t="s">
        <v>84</v>
      </c>
      <c r="AM34" s="12">
        <v>0</v>
      </c>
      <c r="AN34" s="25">
        <v>45945.680555555555</v>
      </c>
      <c r="AO34" s="25">
        <v>45945.708101851851</v>
      </c>
      <c r="AP34" s="25">
        <v>45945.810173611113</v>
      </c>
      <c r="AQ34" s="11">
        <v>117</v>
      </c>
      <c r="AR34" s="11" t="s">
        <v>362</v>
      </c>
      <c r="AS34" s="13">
        <v>170</v>
      </c>
      <c r="AT34" s="12">
        <v>25.5</v>
      </c>
      <c r="AU34" s="12">
        <v>0</v>
      </c>
      <c r="AV34" s="12">
        <v>850</v>
      </c>
      <c r="AW34" s="12">
        <v>0</v>
      </c>
      <c r="AX34" s="12">
        <v>1154.74</v>
      </c>
      <c r="AY34" s="12">
        <v>0</v>
      </c>
      <c r="AZ34" s="12">
        <v>0</v>
      </c>
      <c r="BA34" s="12">
        <v>5185</v>
      </c>
      <c r="BB34" s="12">
        <v>0</v>
      </c>
      <c r="BC34" s="12">
        <v>6339.74</v>
      </c>
      <c r="BD34" s="14"/>
      <c r="BE34" s="15">
        <f t="shared" si="17"/>
        <v>45945</v>
      </c>
      <c r="BF34" s="16">
        <f t="shared" si="18"/>
        <v>0.70810185185109731</v>
      </c>
      <c r="BG34" s="17">
        <f t="shared" si="19"/>
        <v>850</v>
      </c>
      <c r="BH34" s="18">
        <f t="shared" si="20"/>
        <v>170</v>
      </c>
      <c r="BI34" s="19">
        <f t="shared" si="21"/>
        <v>25.5</v>
      </c>
      <c r="BJ34" s="17">
        <f t="shared" si="22"/>
        <v>5185</v>
      </c>
      <c r="BK34" s="17">
        <f t="shared" si="23"/>
        <v>0</v>
      </c>
      <c r="BL34" s="17">
        <f t="shared" si="24"/>
        <v>1154.74</v>
      </c>
      <c r="BM34" s="17">
        <f t="shared" si="25"/>
        <v>0</v>
      </c>
      <c r="BN34" s="17">
        <f t="shared" si="26"/>
        <v>0</v>
      </c>
      <c r="BO34" s="17">
        <f t="shared" si="27"/>
        <v>0</v>
      </c>
      <c r="BP34" s="17">
        <f t="shared" si="28"/>
        <v>0</v>
      </c>
      <c r="BQ34" s="20">
        <f t="shared" si="29"/>
        <v>6339.74</v>
      </c>
      <c r="BR34" s="17">
        <f t="shared" si="30"/>
        <v>1014.3584</v>
      </c>
      <c r="BS34" s="17">
        <f t="shared" si="31"/>
        <v>7354.0983999999999</v>
      </c>
      <c r="BT34" s="21">
        <f t="shared" si="32"/>
        <v>253.58959999999999</v>
      </c>
      <c r="BU34" s="21">
        <f t="shared" si="33"/>
        <v>7100.5087999999996</v>
      </c>
      <c r="BV34" s="21">
        <f t="shared" si="34"/>
        <v>0</v>
      </c>
      <c r="BW34" s="21">
        <f t="shared" si="35"/>
        <v>7100.5087999999996</v>
      </c>
      <c r="BX34" s="22">
        <f t="shared" si="36"/>
        <v>0</v>
      </c>
      <c r="BY34" s="21">
        <f t="shared" si="37"/>
        <v>6339.74</v>
      </c>
      <c r="BZ34" s="23"/>
      <c r="CC34" s="23"/>
    </row>
    <row r="35" spans="1:81" x14ac:dyDescent="0.25">
      <c r="A35" s="10">
        <v>57271</v>
      </c>
      <c r="B35" s="32">
        <v>57271</v>
      </c>
      <c r="C35" s="32" t="s">
        <v>363</v>
      </c>
      <c r="D35" t="s">
        <v>69</v>
      </c>
      <c r="E35" t="s">
        <v>364</v>
      </c>
      <c r="F35" t="s">
        <v>142</v>
      </c>
      <c r="G35" t="s">
        <v>273</v>
      </c>
      <c r="H35" t="s">
        <v>143</v>
      </c>
      <c r="I35" s="30">
        <v>125283172</v>
      </c>
      <c r="J35" s="11"/>
      <c r="K35" s="11"/>
      <c r="L35" s="11"/>
      <c r="M35" s="12">
        <v>0</v>
      </c>
      <c r="N35" s="11"/>
      <c r="O35" s="11"/>
      <c r="P35" s="12">
        <v>0</v>
      </c>
      <c r="Q35" s="11"/>
      <c r="R35" s="11"/>
      <c r="S35" s="12">
        <v>0</v>
      </c>
      <c r="T35" s="12"/>
      <c r="U35" s="12"/>
      <c r="V35" s="12">
        <v>0</v>
      </c>
      <c r="W35" s="12"/>
      <c r="X35" s="12"/>
      <c r="Y35" s="12">
        <v>0</v>
      </c>
      <c r="Z35" s="11" t="s">
        <v>365</v>
      </c>
      <c r="AA35" s="11">
        <v>2008</v>
      </c>
      <c r="AB35" s="11" t="s">
        <v>74</v>
      </c>
      <c r="AC35" s="11" t="s">
        <v>366</v>
      </c>
      <c r="AD35" s="11" t="s">
        <v>367</v>
      </c>
      <c r="AE35" s="11" t="s">
        <v>368</v>
      </c>
      <c r="AF35" s="11" t="s">
        <v>78</v>
      </c>
      <c r="AG35" s="11" t="s">
        <v>369</v>
      </c>
      <c r="AH35" s="11" t="s">
        <v>370</v>
      </c>
      <c r="AI35" s="11" t="s">
        <v>371</v>
      </c>
      <c r="AJ35" s="11" t="s">
        <v>372</v>
      </c>
      <c r="AK35" s="11" t="s">
        <v>88</v>
      </c>
      <c r="AL35" s="11" t="s">
        <v>84</v>
      </c>
      <c r="AM35" s="12">
        <v>0</v>
      </c>
      <c r="AN35" s="25">
        <v>45946.383333333331</v>
      </c>
      <c r="AO35" s="25">
        <v>45946.436342592591</v>
      </c>
      <c r="AP35" s="25">
        <v>45946.488055555557</v>
      </c>
      <c r="AQ35" s="11">
        <v>27</v>
      </c>
      <c r="AR35" s="11" t="s">
        <v>373</v>
      </c>
      <c r="AS35" s="13">
        <v>31</v>
      </c>
      <c r="AT35" s="12">
        <v>25.5</v>
      </c>
      <c r="AU35" s="12">
        <v>0</v>
      </c>
      <c r="AV35" s="12">
        <v>850</v>
      </c>
      <c r="AW35" s="12">
        <v>0</v>
      </c>
      <c r="AX35" s="12">
        <v>0</v>
      </c>
      <c r="AY35" s="12">
        <v>0</v>
      </c>
      <c r="AZ35" s="12">
        <v>0</v>
      </c>
      <c r="BA35" s="12">
        <v>1640.5</v>
      </c>
      <c r="BB35" s="12">
        <v>2900</v>
      </c>
      <c r="BC35" s="12">
        <v>4540.5</v>
      </c>
      <c r="BD35" s="14"/>
      <c r="BE35" s="15">
        <f t="shared" si="17"/>
        <v>45946</v>
      </c>
      <c r="BF35" s="16">
        <f t="shared" si="18"/>
        <v>0.43634259259124519</v>
      </c>
      <c r="BG35" s="17">
        <f t="shared" si="19"/>
        <v>850</v>
      </c>
      <c r="BH35" s="18">
        <f t="shared" si="20"/>
        <v>31</v>
      </c>
      <c r="BI35" s="19">
        <f t="shared" si="21"/>
        <v>25.5</v>
      </c>
      <c r="BJ35" s="17">
        <f t="shared" si="22"/>
        <v>1640.5</v>
      </c>
      <c r="BK35" s="17">
        <f t="shared" si="23"/>
        <v>0</v>
      </c>
      <c r="BL35" s="17">
        <f t="shared" si="24"/>
        <v>0</v>
      </c>
      <c r="BM35" s="17">
        <f t="shared" si="25"/>
        <v>0</v>
      </c>
      <c r="BN35" s="17">
        <f t="shared" si="26"/>
        <v>0</v>
      </c>
      <c r="BO35" s="17">
        <f t="shared" si="27"/>
        <v>2900</v>
      </c>
      <c r="BP35" s="17">
        <f t="shared" si="28"/>
        <v>0</v>
      </c>
      <c r="BQ35" s="20">
        <f t="shared" si="29"/>
        <v>4540.5</v>
      </c>
      <c r="BR35" s="17">
        <f t="shared" si="30"/>
        <v>726.48</v>
      </c>
      <c r="BS35" s="17">
        <f t="shared" si="31"/>
        <v>5266.98</v>
      </c>
      <c r="BT35" s="21">
        <f t="shared" si="32"/>
        <v>181.62</v>
      </c>
      <c r="BU35" s="21">
        <f t="shared" si="33"/>
        <v>5085.3599999999997</v>
      </c>
      <c r="BV35" s="21">
        <f t="shared" si="34"/>
        <v>0</v>
      </c>
      <c r="BW35" s="21">
        <f t="shared" si="35"/>
        <v>5085.3599999999997</v>
      </c>
      <c r="BX35" s="22">
        <f t="shared" si="36"/>
        <v>0</v>
      </c>
      <c r="BY35" s="21">
        <f t="shared" si="37"/>
        <v>4540.5</v>
      </c>
      <c r="BZ35" s="23"/>
      <c r="CC35" s="23"/>
    </row>
    <row r="36" spans="1:81" x14ac:dyDescent="0.25">
      <c r="A36" s="10">
        <v>57346</v>
      </c>
      <c r="B36" s="32">
        <v>57346</v>
      </c>
      <c r="C36" s="32"/>
      <c r="D36" t="s">
        <v>69</v>
      </c>
      <c r="E36" t="s">
        <v>364</v>
      </c>
      <c r="F36" t="s">
        <v>142</v>
      </c>
      <c r="G36" t="s">
        <v>273</v>
      </c>
      <c r="H36" t="s">
        <v>143</v>
      </c>
      <c r="I36" s="30">
        <v>125284449</v>
      </c>
      <c r="J36" s="11"/>
      <c r="K36" s="26"/>
      <c r="L36" s="11"/>
      <c r="M36" s="12">
        <v>0</v>
      </c>
      <c r="N36" s="11"/>
      <c r="O36" s="11"/>
      <c r="P36" s="12">
        <v>0</v>
      </c>
      <c r="Q36" s="11"/>
      <c r="R36" s="11"/>
      <c r="S36" s="12">
        <v>0</v>
      </c>
      <c r="T36" s="12"/>
      <c r="U36" s="12"/>
      <c r="V36" s="12">
        <v>0</v>
      </c>
      <c r="W36" s="12"/>
      <c r="X36" s="12"/>
      <c r="Y36" s="12">
        <v>0</v>
      </c>
      <c r="Z36" s="11" t="s">
        <v>374</v>
      </c>
      <c r="AA36" s="11">
        <v>2023</v>
      </c>
      <c r="AB36" s="11" t="s">
        <v>375</v>
      </c>
      <c r="AC36" s="11" t="s">
        <v>376</v>
      </c>
      <c r="AD36" s="11" t="s">
        <v>377</v>
      </c>
      <c r="AE36" s="11" t="s">
        <v>378</v>
      </c>
      <c r="AF36" s="11" t="s">
        <v>78</v>
      </c>
      <c r="AG36" s="11" t="s">
        <v>379</v>
      </c>
      <c r="AH36" s="11" t="s">
        <v>380</v>
      </c>
      <c r="AI36" s="11" t="s">
        <v>381</v>
      </c>
      <c r="AJ36" s="11" t="s">
        <v>372</v>
      </c>
      <c r="AK36" s="11" t="s">
        <v>88</v>
      </c>
      <c r="AL36" s="11" t="s">
        <v>84</v>
      </c>
      <c r="AM36" s="12">
        <v>0</v>
      </c>
      <c r="AN36" s="25">
        <v>45947.479166666672</v>
      </c>
      <c r="AO36" s="25">
        <v>45947.532557870371</v>
      </c>
      <c r="AP36" s="25">
        <v>45947.619502314818</v>
      </c>
      <c r="AQ36" s="11">
        <v>49</v>
      </c>
      <c r="AR36" s="11" t="s">
        <v>382</v>
      </c>
      <c r="AS36" s="13">
        <v>36</v>
      </c>
      <c r="AT36" s="12">
        <v>25.5</v>
      </c>
      <c r="AU36" s="12">
        <v>0</v>
      </c>
      <c r="AV36" s="12">
        <v>850</v>
      </c>
      <c r="AW36" s="12">
        <v>0</v>
      </c>
      <c r="AX36" s="12">
        <v>0</v>
      </c>
      <c r="AY36" s="12">
        <v>0</v>
      </c>
      <c r="AZ36" s="12">
        <v>2500</v>
      </c>
      <c r="BA36" s="12">
        <v>1768</v>
      </c>
      <c r="BB36" s="12">
        <v>0</v>
      </c>
      <c r="BC36" s="12">
        <v>4268</v>
      </c>
      <c r="BD36" s="14"/>
      <c r="BE36" s="15">
        <f t="shared" si="17"/>
        <v>45947</v>
      </c>
      <c r="BF36" s="16">
        <f t="shared" si="18"/>
        <v>0.5325578703705105</v>
      </c>
      <c r="BG36" s="17">
        <f t="shared" si="19"/>
        <v>850</v>
      </c>
      <c r="BH36" s="18">
        <f t="shared" si="20"/>
        <v>36</v>
      </c>
      <c r="BI36" s="19">
        <f t="shared" si="21"/>
        <v>25.5</v>
      </c>
      <c r="BJ36" s="17">
        <f t="shared" si="22"/>
        <v>1768</v>
      </c>
      <c r="BK36" s="17">
        <f t="shared" si="23"/>
        <v>0</v>
      </c>
      <c r="BL36" s="17">
        <f t="shared" si="24"/>
        <v>0</v>
      </c>
      <c r="BM36" s="17">
        <f t="shared" si="25"/>
        <v>0</v>
      </c>
      <c r="BN36" s="17">
        <f t="shared" si="26"/>
        <v>2500</v>
      </c>
      <c r="BO36" s="17">
        <f t="shared" si="27"/>
        <v>0</v>
      </c>
      <c r="BP36" s="17">
        <f t="shared" si="28"/>
        <v>0</v>
      </c>
      <c r="BQ36" s="20">
        <f t="shared" si="29"/>
        <v>4268</v>
      </c>
      <c r="BR36" s="17">
        <f t="shared" si="30"/>
        <v>682.88</v>
      </c>
      <c r="BS36" s="17">
        <f t="shared" si="31"/>
        <v>4950.88</v>
      </c>
      <c r="BT36" s="21">
        <f t="shared" si="32"/>
        <v>170.72</v>
      </c>
      <c r="BU36" s="21">
        <f t="shared" si="33"/>
        <v>4780.16</v>
      </c>
      <c r="BV36" s="21">
        <f t="shared" si="34"/>
        <v>0</v>
      </c>
      <c r="BW36" s="21">
        <f t="shared" si="35"/>
        <v>4780.16</v>
      </c>
      <c r="BX36" s="22">
        <f t="shared" si="36"/>
        <v>0</v>
      </c>
      <c r="BY36" s="21">
        <f t="shared" si="37"/>
        <v>4268</v>
      </c>
      <c r="BZ36" s="23"/>
      <c r="CC36" s="23"/>
    </row>
    <row r="37" spans="1:81" x14ac:dyDescent="0.25">
      <c r="A37" s="10">
        <v>57384</v>
      </c>
      <c r="B37" s="32">
        <v>57384</v>
      </c>
      <c r="C37" s="32"/>
      <c r="D37" t="s">
        <v>69</v>
      </c>
      <c r="E37" t="s">
        <v>141</v>
      </c>
      <c r="F37" t="s">
        <v>142</v>
      </c>
      <c r="G37" t="s">
        <v>383</v>
      </c>
      <c r="H37" t="s">
        <v>143</v>
      </c>
      <c r="I37" s="30">
        <v>125285345</v>
      </c>
      <c r="J37" s="11"/>
      <c r="K37" s="11"/>
      <c r="L37" s="11"/>
      <c r="M37" s="12">
        <v>0</v>
      </c>
      <c r="N37" s="11"/>
      <c r="O37" s="11"/>
      <c r="P37" s="12">
        <v>0</v>
      </c>
      <c r="Q37" s="11"/>
      <c r="R37" s="11"/>
      <c r="S37" s="12">
        <v>0</v>
      </c>
      <c r="T37" s="12"/>
      <c r="U37" s="12"/>
      <c r="V37" s="12">
        <v>0</v>
      </c>
      <c r="W37" s="12"/>
      <c r="X37" s="12"/>
      <c r="Y37" s="12">
        <v>0</v>
      </c>
      <c r="Z37" s="11" t="s">
        <v>384</v>
      </c>
      <c r="AA37" s="11">
        <v>2013</v>
      </c>
      <c r="AB37" s="11" t="s">
        <v>74</v>
      </c>
      <c r="AC37" s="11" t="s">
        <v>385</v>
      </c>
      <c r="AD37" s="11" t="s">
        <v>386</v>
      </c>
      <c r="AE37" s="11" t="s">
        <v>387</v>
      </c>
      <c r="AF37" s="11" t="s">
        <v>78</v>
      </c>
      <c r="AG37" s="11" t="s">
        <v>388</v>
      </c>
      <c r="AH37" s="11" t="s">
        <v>389</v>
      </c>
      <c r="AI37" s="11" t="s">
        <v>390</v>
      </c>
      <c r="AJ37" s="11" t="s">
        <v>99</v>
      </c>
      <c r="AK37" s="11" t="s">
        <v>88</v>
      </c>
      <c r="AL37" s="11" t="s">
        <v>84</v>
      </c>
      <c r="AM37" s="12">
        <v>0</v>
      </c>
      <c r="AN37" s="25">
        <v>45947.985416666663</v>
      </c>
      <c r="AO37" s="25">
        <v>45948.062835648147</v>
      </c>
      <c r="AP37" s="25">
        <v>45948.150983796295</v>
      </c>
      <c r="AQ37" s="11">
        <v>0</v>
      </c>
      <c r="AR37" s="11" t="s">
        <v>391</v>
      </c>
      <c r="AS37" s="13">
        <v>61</v>
      </c>
      <c r="AT37" s="12">
        <v>31.32</v>
      </c>
      <c r="AU37" s="12">
        <v>0</v>
      </c>
      <c r="AV37" s="12">
        <v>975</v>
      </c>
      <c r="AW37" s="12">
        <v>0</v>
      </c>
      <c r="AX37" s="12">
        <v>700</v>
      </c>
      <c r="AY37" s="12">
        <v>0</v>
      </c>
      <c r="AZ37" s="12">
        <v>1100</v>
      </c>
      <c r="BA37" s="12">
        <v>2885.52</v>
      </c>
      <c r="BB37" s="12">
        <v>0</v>
      </c>
      <c r="BC37" s="12">
        <v>4685.5200000000004</v>
      </c>
      <c r="BD37" s="14"/>
      <c r="BE37" s="15">
        <f t="shared" si="17"/>
        <v>45948</v>
      </c>
      <c r="BF37" s="16">
        <f t="shared" si="18"/>
        <v>6.2835648146574385E-2</v>
      </c>
      <c r="BG37" s="17">
        <f t="shared" si="19"/>
        <v>975</v>
      </c>
      <c r="BH37" s="18">
        <f t="shared" si="20"/>
        <v>61</v>
      </c>
      <c r="BI37" s="19">
        <f t="shared" si="21"/>
        <v>31.32</v>
      </c>
      <c r="BJ37" s="17">
        <f t="shared" si="22"/>
        <v>2885.52</v>
      </c>
      <c r="BK37" s="17">
        <f t="shared" si="23"/>
        <v>0</v>
      </c>
      <c r="BL37" s="17">
        <f t="shared" si="24"/>
        <v>700</v>
      </c>
      <c r="BM37" s="17">
        <f t="shared" si="25"/>
        <v>0</v>
      </c>
      <c r="BN37" s="17">
        <f t="shared" si="26"/>
        <v>1100</v>
      </c>
      <c r="BO37" s="17">
        <f t="shared" si="27"/>
        <v>0</v>
      </c>
      <c r="BP37" s="17">
        <f t="shared" si="28"/>
        <v>0</v>
      </c>
      <c r="BQ37" s="20">
        <f t="shared" si="29"/>
        <v>4685.5200000000004</v>
      </c>
      <c r="BR37" s="17">
        <f t="shared" si="30"/>
        <v>749.68320000000006</v>
      </c>
      <c r="BS37" s="17">
        <f t="shared" si="31"/>
        <v>5435.2032000000008</v>
      </c>
      <c r="BT37" s="21">
        <f t="shared" si="32"/>
        <v>187.42080000000001</v>
      </c>
      <c r="BU37" s="21">
        <f t="shared" si="33"/>
        <v>5247.782400000001</v>
      </c>
      <c r="BV37" s="21">
        <f t="shared" si="34"/>
        <v>0</v>
      </c>
      <c r="BW37" s="21">
        <f t="shared" si="35"/>
        <v>5247.782400000001</v>
      </c>
      <c r="BX37" s="22">
        <f t="shared" si="36"/>
        <v>0</v>
      </c>
      <c r="BY37" s="21">
        <f t="shared" si="37"/>
        <v>4685.5200000000004</v>
      </c>
      <c r="BZ37" s="23"/>
      <c r="CC37" s="23"/>
    </row>
    <row r="38" spans="1:81" x14ac:dyDescent="0.25">
      <c r="A38" s="10">
        <v>57423</v>
      </c>
      <c r="B38" s="32">
        <v>57423</v>
      </c>
      <c r="C38" s="32" t="s">
        <v>363</v>
      </c>
      <c r="D38" t="s">
        <v>69</v>
      </c>
      <c r="E38" t="s">
        <v>364</v>
      </c>
      <c r="F38" t="s">
        <v>142</v>
      </c>
      <c r="G38" t="s">
        <v>273</v>
      </c>
      <c r="H38" t="s">
        <v>143</v>
      </c>
      <c r="I38" s="30">
        <v>125285606</v>
      </c>
      <c r="J38" s="11"/>
      <c r="K38" s="11"/>
      <c r="L38" s="11"/>
      <c r="M38" s="12">
        <v>0</v>
      </c>
      <c r="N38" s="11"/>
      <c r="O38" s="11"/>
      <c r="P38" s="12">
        <v>0</v>
      </c>
      <c r="Q38" s="11"/>
      <c r="R38" s="11"/>
      <c r="S38" s="12">
        <v>0</v>
      </c>
      <c r="T38" s="12"/>
      <c r="U38" s="12"/>
      <c r="V38" s="12">
        <v>0</v>
      </c>
      <c r="W38" s="12"/>
      <c r="X38" s="12"/>
      <c r="Y38" s="12">
        <v>0</v>
      </c>
      <c r="Z38" s="11" t="s">
        <v>144</v>
      </c>
      <c r="AA38" s="11">
        <v>2011</v>
      </c>
      <c r="AB38" s="11" t="s">
        <v>132</v>
      </c>
      <c r="AC38" s="11" t="s">
        <v>392</v>
      </c>
      <c r="AD38" s="11" t="s">
        <v>393</v>
      </c>
      <c r="AE38" s="11" t="s">
        <v>394</v>
      </c>
      <c r="AF38" s="11" t="s">
        <v>78</v>
      </c>
      <c r="AG38" s="11" t="s">
        <v>395</v>
      </c>
      <c r="AH38" s="11" t="s">
        <v>396</v>
      </c>
      <c r="AI38" s="11" t="s">
        <v>259</v>
      </c>
      <c r="AJ38" s="11" t="s">
        <v>372</v>
      </c>
      <c r="AK38" s="11" t="s">
        <v>88</v>
      </c>
      <c r="AL38" s="11" t="s">
        <v>84</v>
      </c>
      <c r="AM38" s="12">
        <v>0</v>
      </c>
      <c r="AN38" s="25">
        <v>45948.527083333334</v>
      </c>
      <c r="AO38" s="25">
        <v>45948.574270833335</v>
      </c>
      <c r="AP38" s="25">
        <v>45948.648020833338</v>
      </c>
      <c r="AQ38" s="11">
        <v>0</v>
      </c>
      <c r="AR38" s="11" t="s">
        <v>397</v>
      </c>
      <c r="AS38" s="13">
        <v>61</v>
      </c>
      <c r="AT38" s="12">
        <v>25.5</v>
      </c>
      <c r="AU38" s="12">
        <v>0</v>
      </c>
      <c r="AV38" s="12">
        <v>850</v>
      </c>
      <c r="AW38" s="12">
        <v>0</v>
      </c>
      <c r="AX38" s="12">
        <v>700</v>
      </c>
      <c r="AY38" s="12">
        <v>0</v>
      </c>
      <c r="AZ38" s="12">
        <v>0</v>
      </c>
      <c r="BA38" s="12">
        <v>2405.5</v>
      </c>
      <c r="BB38" s="12">
        <v>1000</v>
      </c>
      <c r="BC38" s="12">
        <v>4105.5</v>
      </c>
      <c r="BD38" s="14"/>
      <c r="BE38" s="15">
        <f t="shared" si="17"/>
        <v>45948</v>
      </c>
      <c r="BF38" s="16">
        <f t="shared" si="18"/>
        <v>0.5742708333345945</v>
      </c>
      <c r="BG38" s="17">
        <f t="shared" si="19"/>
        <v>850</v>
      </c>
      <c r="BH38" s="18">
        <f t="shared" si="20"/>
        <v>61</v>
      </c>
      <c r="BI38" s="19">
        <f t="shared" si="21"/>
        <v>25.5</v>
      </c>
      <c r="BJ38" s="17">
        <f t="shared" si="22"/>
        <v>2405.5</v>
      </c>
      <c r="BK38" s="17">
        <f t="shared" si="23"/>
        <v>0</v>
      </c>
      <c r="BL38" s="17">
        <f t="shared" si="24"/>
        <v>700</v>
      </c>
      <c r="BM38" s="17">
        <f t="shared" si="25"/>
        <v>0</v>
      </c>
      <c r="BN38" s="17">
        <f t="shared" si="26"/>
        <v>0</v>
      </c>
      <c r="BO38" s="17">
        <f t="shared" si="27"/>
        <v>1000</v>
      </c>
      <c r="BP38" s="17">
        <f t="shared" si="28"/>
        <v>0</v>
      </c>
      <c r="BQ38" s="20">
        <f t="shared" si="29"/>
        <v>4105.5</v>
      </c>
      <c r="BR38" s="17">
        <f t="shared" si="30"/>
        <v>656.88</v>
      </c>
      <c r="BS38" s="17">
        <f t="shared" si="31"/>
        <v>4762.38</v>
      </c>
      <c r="BT38" s="21">
        <f t="shared" si="32"/>
        <v>164.22</v>
      </c>
      <c r="BU38" s="21">
        <f t="shared" si="33"/>
        <v>4598.16</v>
      </c>
      <c r="BV38" s="21">
        <f t="shared" si="34"/>
        <v>0</v>
      </c>
      <c r="BW38" s="21">
        <f t="shared" si="35"/>
        <v>4598.16</v>
      </c>
      <c r="BX38" s="22">
        <f t="shared" si="36"/>
        <v>0</v>
      </c>
      <c r="BY38" s="21">
        <f t="shared" si="37"/>
        <v>4105.5</v>
      </c>
      <c r="BZ38" s="23"/>
      <c r="CC38" s="23"/>
    </row>
    <row r="39" spans="1:81" x14ac:dyDescent="0.25">
      <c r="A39" s="10">
        <v>57451</v>
      </c>
      <c r="B39" s="32">
        <v>57451</v>
      </c>
      <c r="C39" s="32"/>
      <c r="D39" t="s">
        <v>69</v>
      </c>
      <c r="E39" t="s">
        <v>141</v>
      </c>
      <c r="F39" t="s">
        <v>165</v>
      </c>
      <c r="G39" t="s">
        <v>273</v>
      </c>
      <c r="H39" t="s">
        <v>143</v>
      </c>
      <c r="I39" s="30">
        <v>125285984</v>
      </c>
      <c r="J39" s="11"/>
      <c r="K39" s="26"/>
      <c r="L39" s="11"/>
      <c r="M39" s="12">
        <v>0</v>
      </c>
      <c r="N39" s="11"/>
      <c r="O39" s="11"/>
      <c r="P39" s="12">
        <v>0</v>
      </c>
      <c r="Q39" s="11"/>
      <c r="R39" s="11"/>
      <c r="S39" s="12">
        <v>0</v>
      </c>
      <c r="T39" s="12"/>
      <c r="U39" s="12"/>
      <c r="V39" s="12">
        <v>0</v>
      </c>
      <c r="W39" s="12"/>
      <c r="X39" s="12"/>
      <c r="Y39" s="12">
        <v>0</v>
      </c>
      <c r="Z39" s="11" t="s">
        <v>398</v>
      </c>
      <c r="AA39" s="11">
        <v>2008</v>
      </c>
      <c r="AB39" s="11" t="s">
        <v>289</v>
      </c>
      <c r="AC39" s="11" t="s">
        <v>399</v>
      </c>
      <c r="AD39" s="11" t="s">
        <v>400</v>
      </c>
      <c r="AE39" s="11" t="s">
        <v>401</v>
      </c>
      <c r="AF39" s="11" t="s">
        <v>78</v>
      </c>
      <c r="AG39" s="11" t="s">
        <v>402</v>
      </c>
      <c r="AH39" s="11" t="s">
        <v>396</v>
      </c>
      <c r="AI39" s="11" t="s">
        <v>259</v>
      </c>
      <c r="AJ39" s="11" t="s">
        <v>99</v>
      </c>
      <c r="AK39" s="11" t="s">
        <v>88</v>
      </c>
      <c r="AL39" s="11" t="s">
        <v>84</v>
      </c>
      <c r="AM39" s="12">
        <v>0</v>
      </c>
      <c r="AN39" s="25">
        <v>45948.884722222225</v>
      </c>
      <c r="AO39" s="25">
        <v>45948.928749999999</v>
      </c>
      <c r="AP39" s="25">
        <v>45948.928749999999</v>
      </c>
      <c r="AQ39" s="11">
        <v>0</v>
      </c>
      <c r="AR39" s="11" t="s">
        <v>403</v>
      </c>
      <c r="AS39" s="13">
        <v>22.5</v>
      </c>
      <c r="AT39" s="12">
        <v>25.5</v>
      </c>
      <c r="AU39" s="12">
        <v>0</v>
      </c>
      <c r="AV39" s="12">
        <v>850</v>
      </c>
      <c r="AW39" s="12">
        <v>0</v>
      </c>
      <c r="AX39" s="12">
        <v>0</v>
      </c>
      <c r="AY39" s="12">
        <v>0</v>
      </c>
      <c r="AZ39" s="12">
        <v>0</v>
      </c>
      <c r="BA39" s="12">
        <v>1997.5</v>
      </c>
      <c r="BB39" s="12">
        <v>0</v>
      </c>
      <c r="BC39" s="12">
        <v>1997.5</v>
      </c>
      <c r="BD39" s="14"/>
      <c r="BE39" s="15">
        <f t="shared" si="17"/>
        <v>45948</v>
      </c>
      <c r="BF39" s="16">
        <f t="shared" si="18"/>
        <v>0.92874999999912689</v>
      </c>
      <c r="BG39" s="17">
        <f t="shared" si="19"/>
        <v>850</v>
      </c>
      <c r="BH39" s="18">
        <f t="shared" si="20"/>
        <v>22.5</v>
      </c>
      <c r="BI39" s="19">
        <f t="shared" si="21"/>
        <v>25.5</v>
      </c>
      <c r="BJ39" s="17">
        <f t="shared" si="22"/>
        <v>1423.75</v>
      </c>
      <c r="BK39" s="17">
        <f t="shared" si="23"/>
        <v>0</v>
      </c>
      <c r="BL39" s="17">
        <f t="shared" si="24"/>
        <v>0</v>
      </c>
      <c r="BM39" s="17">
        <f t="shared" si="25"/>
        <v>0</v>
      </c>
      <c r="BN39" s="17">
        <f t="shared" si="26"/>
        <v>0</v>
      </c>
      <c r="BO39" s="17">
        <f t="shared" si="27"/>
        <v>0</v>
      </c>
      <c r="BP39" s="17">
        <f t="shared" si="28"/>
        <v>0</v>
      </c>
      <c r="BQ39" s="20">
        <f t="shared" si="29"/>
        <v>1423.75</v>
      </c>
      <c r="BR39" s="17">
        <f t="shared" si="30"/>
        <v>227.8</v>
      </c>
      <c r="BS39" s="17">
        <f t="shared" si="31"/>
        <v>1651.55</v>
      </c>
      <c r="BT39" s="21">
        <f t="shared" si="32"/>
        <v>56.95</v>
      </c>
      <c r="BU39" s="21">
        <f t="shared" si="33"/>
        <v>1594.6</v>
      </c>
      <c r="BV39" s="21">
        <f t="shared" si="34"/>
        <v>0</v>
      </c>
      <c r="BW39" s="21">
        <f t="shared" si="35"/>
        <v>1594.6</v>
      </c>
      <c r="BX39" s="22">
        <f t="shared" si="36"/>
        <v>0</v>
      </c>
      <c r="BY39" s="21">
        <f t="shared" si="37"/>
        <v>1423.75</v>
      </c>
      <c r="BZ39" s="23"/>
      <c r="CC39" s="23"/>
    </row>
    <row r="40" spans="1:81" x14ac:dyDescent="0.25">
      <c r="A40" s="10">
        <v>57476</v>
      </c>
      <c r="B40" s="32">
        <v>57476</v>
      </c>
      <c r="C40" s="32"/>
      <c r="D40" t="s">
        <v>69</v>
      </c>
      <c r="E40" t="s">
        <v>141</v>
      </c>
      <c r="F40" t="s">
        <v>165</v>
      </c>
      <c r="G40" t="s">
        <v>273</v>
      </c>
      <c r="H40" t="s">
        <v>143</v>
      </c>
      <c r="I40" s="30">
        <v>125286115</v>
      </c>
      <c r="J40" s="11"/>
      <c r="K40" s="27"/>
      <c r="L40" s="27"/>
      <c r="M40" s="12">
        <v>0</v>
      </c>
      <c r="N40" s="11"/>
      <c r="O40" s="11"/>
      <c r="P40" s="12">
        <v>0</v>
      </c>
      <c r="Q40" s="11"/>
      <c r="R40" s="11"/>
      <c r="S40" s="12">
        <v>0</v>
      </c>
      <c r="T40" s="12"/>
      <c r="U40" s="12"/>
      <c r="V40" s="12">
        <v>0</v>
      </c>
      <c r="W40" s="12"/>
      <c r="X40" s="12"/>
      <c r="Y40" s="12">
        <v>0</v>
      </c>
      <c r="Z40" s="24" t="s">
        <v>404</v>
      </c>
      <c r="AA40" s="11">
        <v>2024</v>
      </c>
      <c r="AB40" s="11" t="s">
        <v>289</v>
      </c>
      <c r="AC40" s="11" t="s">
        <v>405</v>
      </c>
      <c r="AD40" s="11" t="s">
        <v>406</v>
      </c>
      <c r="AE40" s="11" t="s">
        <v>407</v>
      </c>
      <c r="AF40" s="11" t="s">
        <v>78</v>
      </c>
      <c r="AG40" s="11" t="s">
        <v>408</v>
      </c>
      <c r="AH40" s="11" t="s">
        <v>80</v>
      </c>
      <c r="AI40" s="11" t="s">
        <v>190</v>
      </c>
      <c r="AJ40" s="11" t="s">
        <v>82</v>
      </c>
      <c r="AK40" s="11" t="s">
        <v>88</v>
      </c>
      <c r="AL40" s="11" t="s">
        <v>84</v>
      </c>
      <c r="AM40" s="12">
        <v>0</v>
      </c>
      <c r="AN40" s="25">
        <v>45949.315972222219</v>
      </c>
      <c r="AO40" s="25">
        <v>45949.315972222219</v>
      </c>
      <c r="AP40" s="25">
        <v>45949.315972222219</v>
      </c>
      <c r="AQ40" s="11">
        <v>56</v>
      </c>
      <c r="AR40" s="11" t="s">
        <v>409</v>
      </c>
      <c r="AS40" s="13">
        <v>0</v>
      </c>
      <c r="AT40" s="12">
        <v>0</v>
      </c>
      <c r="AU40" s="12">
        <v>0</v>
      </c>
      <c r="AV40" s="12">
        <v>400</v>
      </c>
      <c r="AW40" s="12">
        <v>0</v>
      </c>
      <c r="AX40" s="12">
        <v>0</v>
      </c>
      <c r="AY40" s="12">
        <v>0</v>
      </c>
      <c r="AZ40" s="12">
        <v>0</v>
      </c>
      <c r="BA40" s="12">
        <v>1895.5</v>
      </c>
      <c r="BB40" s="12">
        <v>0</v>
      </c>
      <c r="BC40" s="12">
        <v>2154.12</v>
      </c>
      <c r="BD40" s="14"/>
      <c r="BE40" s="15">
        <f t="shared" si="17"/>
        <v>45949</v>
      </c>
      <c r="BF40" s="16">
        <f t="shared" si="18"/>
        <v>0.31597222221898846</v>
      </c>
      <c r="BG40" s="17">
        <f t="shared" si="19"/>
        <v>400</v>
      </c>
      <c r="BH40" s="18">
        <f t="shared" si="20"/>
        <v>0</v>
      </c>
      <c r="BI40" s="19">
        <f t="shared" si="21"/>
        <v>0</v>
      </c>
      <c r="BJ40" s="17">
        <f t="shared" si="22"/>
        <v>400</v>
      </c>
      <c r="BK40" s="17">
        <f t="shared" si="23"/>
        <v>0</v>
      </c>
      <c r="BL40" s="17">
        <f t="shared" si="24"/>
        <v>0</v>
      </c>
      <c r="BM40" s="17">
        <f t="shared" si="25"/>
        <v>0</v>
      </c>
      <c r="BN40" s="17">
        <f t="shared" si="26"/>
        <v>0</v>
      </c>
      <c r="BO40" s="17">
        <f t="shared" si="27"/>
        <v>0</v>
      </c>
      <c r="BP40" s="17">
        <f t="shared" si="28"/>
        <v>0</v>
      </c>
      <c r="BQ40" s="20">
        <f t="shared" si="29"/>
        <v>400</v>
      </c>
      <c r="BR40" s="17">
        <f t="shared" si="30"/>
        <v>64</v>
      </c>
      <c r="BS40" s="17">
        <f t="shared" si="31"/>
        <v>464</v>
      </c>
      <c r="BT40" s="21">
        <f t="shared" si="32"/>
        <v>16</v>
      </c>
      <c r="BU40" s="21">
        <f t="shared" si="33"/>
        <v>448</v>
      </c>
      <c r="BV40" s="21">
        <f t="shared" si="34"/>
        <v>0</v>
      </c>
      <c r="BW40" s="21">
        <f t="shared" si="35"/>
        <v>448</v>
      </c>
      <c r="BX40" s="22">
        <f t="shared" si="36"/>
        <v>0</v>
      </c>
      <c r="BY40" s="21">
        <f t="shared" si="37"/>
        <v>400</v>
      </c>
      <c r="BZ40" s="23"/>
      <c r="CC40" s="23"/>
    </row>
    <row r="41" spans="1:81" x14ac:dyDescent="0.25">
      <c r="A41" s="10">
        <v>57511</v>
      </c>
      <c r="B41" s="32">
        <v>57511</v>
      </c>
      <c r="C41" s="32"/>
      <c r="D41" t="s">
        <v>69</v>
      </c>
      <c r="E41" t="s">
        <v>70</v>
      </c>
      <c r="F41" t="s">
        <v>142</v>
      </c>
      <c r="G41" t="s">
        <v>273</v>
      </c>
      <c r="H41" t="s">
        <v>143</v>
      </c>
      <c r="I41" s="30">
        <v>125286428</v>
      </c>
      <c r="J41" s="11"/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2">
        <v>0</v>
      </c>
      <c r="T41" s="12"/>
      <c r="U41" s="12"/>
      <c r="V41" s="12">
        <v>0</v>
      </c>
      <c r="W41" s="12"/>
      <c r="X41" s="12"/>
      <c r="Y41" s="12">
        <v>0</v>
      </c>
      <c r="Z41" s="11" t="s">
        <v>410</v>
      </c>
      <c r="AA41" s="11">
        <v>1992</v>
      </c>
      <c r="AB41" s="11" t="s">
        <v>411</v>
      </c>
      <c r="AC41" s="11" t="s">
        <v>412</v>
      </c>
      <c r="AD41" s="11" t="s">
        <v>413</v>
      </c>
      <c r="AE41" s="11" t="s">
        <v>414</v>
      </c>
      <c r="AF41" s="11" t="s">
        <v>78</v>
      </c>
      <c r="AG41" s="11" t="s">
        <v>415</v>
      </c>
      <c r="AH41" s="11" t="s">
        <v>416</v>
      </c>
      <c r="AI41" s="11" t="s">
        <v>110</v>
      </c>
      <c r="AJ41" s="11" t="s">
        <v>99</v>
      </c>
      <c r="AK41" s="11" t="s">
        <v>88</v>
      </c>
      <c r="AL41" s="11" t="s">
        <v>84</v>
      </c>
      <c r="AM41" s="12">
        <v>0</v>
      </c>
      <c r="AN41" s="25">
        <v>45949.830555555556</v>
      </c>
      <c r="AO41" s="25">
        <v>45949.853067129632</v>
      </c>
      <c r="AP41" s="25">
        <v>45949.877025462964</v>
      </c>
      <c r="AQ41" s="11">
        <v>0</v>
      </c>
      <c r="AR41" s="11" t="s">
        <v>417</v>
      </c>
      <c r="AS41" s="13">
        <v>20</v>
      </c>
      <c r="AT41" s="12">
        <v>25.5</v>
      </c>
      <c r="AU41" s="12">
        <v>0</v>
      </c>
      <c r="AV41" s="12">
        <v>850</v>
      </c>
      <c r="AW41" s="12">
        <v>0</v>
      </c>
      <c r="AX41" s="12">
        <v>0</v>
      </c>
      <c r="AY41" s="12">
        <v>0</v>
      </c>
      <c r="AZ41" s="12">
        <v>0</v>
      </c>
      <c r="BA41" s="12">
        <v>1360</v>
      </c>
      <c r="BB41" s="12">
        <v>0</v>
      </c>
      <c r="BC41" s="12">
        <v>1360</v>
      </c>
      <c r="BD41" s="14"/>
      <c r="BE41" s="15">
        <f t="shared" si="17"/>
        <v>45949</v>
      </c>
      <c r="BF41" s="16">
        <f t="shared" si="18"/>
        <v>0.85306712963210884</v>
      </c>
      <c r="BG41" s="17">
        <f t="shared" si="19"/>
        <v>850</v>
      </c>
      <c r="BH41" s="18">
        <f t="shared" si="20"/>
        <v>20</v>
      </c>
      <c r="BI41" s="19">
        <f t="shared" si="21"/>
        <v>25.5</v>
      </c>
      <c r="BJ41" s="17">
        <f t="shared" si="22"/>
        <v>1360</v>
      </c>
      <c r="BK41" s="17">
        <f t="shared" si="23"/>
        <v>0</v>
      </c>
      <c r="BL41" s="17">
        <f t="shared" si="24"/>
        <v>0</v>
      </c>
      <c r="BM41" s="17">
        <f t="shared" si="25"/>
        <v>0</v>
      </c>
      <c r="BN41" s="17">
        <f t="shared" si="26"/>
        <v>0</v>
      </c>
      <c r="BO41" s="17">
        <f t="shared" si="27"/>
        <v>0</v>
      </c>
      <c r="BP41" s="17">
        <f t="shared" si="28"/>
        <v>0</v>
      </c>
      <c r="BQ41" s="20">
        <f t="shared" si="29"/>
        <v>1360</v>
      </c>
      <c r="BR41" s="17">
        <f t="shared" si="30"/>
        <v>217.6</v>
      </c>
      <c r="BS41" s="17">
        <f t="shared" si="31"/>
        <v>1577.6</v>
      </c>
      <c r="BT41" s="21">
        <f t="shared" si="32"/>
        <v>54.4</v>
      </c>
      <c r="BU41" s="21">
        <f t="shared" si="33"/>
        <v>1523.1999999999998</v>
      </c>
      <c r="BV41" s="21">
        <f t="shared" si="34"/>
        <v>0</v>
      </c>
      <c r="BW41" s="21">
        <f t="shared" si="35"/>
        <v>1523.1999999999998</v>
      </c>
      <c r="BX41" s="22">
        <f t="shared" si="36"/>
        <v>0</v>
      </c>
      <c r="BY41" s="21">
        <f t="shared" si="37"/>
        <v>1360</v>
      </c>
      <c r="BZ41" s="23"/>
      <c r="CC41" s="23"/>
    </row>
    <row r="42" spans="1:81" x14ac:dyDescent="0.25">
      <c r="A42" s="10">
        <v>57573</v>
      </c>
      <c r="B42" s="32">
        <v>57573</v>
      </c>
      <c r="C42" s="32"/>
      <c r="D42" t="s">
        <v>69</v>
      </c>
      <c r="E42" t="s">
        <v>246</v>
      </c>
      <c r="F42" t="s">
        <v>142</v>
      </c>
      <c r="G42" t="s">
        <v>273</v>
      </c>
      <c r="H42" t="s">
        <v>143</v>
      </c>
      <c r="I42" s="30">
        <v>125287193</v>
      </c>
      <c r="J42" s="11"/>
      <c r="K42" s="11"/>
      <c r="L42" s="11"/>
      <c r="M42" s="12">
        <v>0</v>
      </c>
      <c r="N42" s="11"/>
      <c r="O42" s="11"/>
      <c r="P42" s="12">
        <v>0</v>
      </c>
      <c r="Q42" s="11"/>
      <c r="R42" s="11"/>
      <c r="S42" s="12">
        <v>0</v>
      </c>
      <c r="T42" s="12"/>
      <c r="U42" s="12"/>
      <c r="V42" s="12">
        <v>0</v>
      </c>
      <c r="W42" s="12"/>
      <c r="X42" s="12"/>
      <c r="Y42" s="12">
        <v>0</v>
      </c>
      <c r="Z42" s="11" t="s">
        <v>418</v>
      </c>
      <c r="AA42" s="11">
        <v>2014</v>
      </c>
      <c r="AB42" s="11" t="s">
        <v>74</v>
      </c>
      <c r="AC42" s="11" t="s">
        <v>419</v>
      </c>
      <c r="AD42" s="11" t="s">
        <v>420</v>
      </c>
      <c r="AE42" s="11" t="s">
        <v>421</v>
      </c>
      <c r="AF42" s="11" t="s">
        <v>78</v>
      </c>
      <c r="AG42" s="11" t="s">
        <v>422</v>
      </c>
      <c r="AH42" s="11" t="s">
        <v>423</v>
      </c>
      <c r="AI42" s="11" t="s">
        <v>424</v>
      </c>
      <c r="AJ42" s="11" t="s">
        <v>279</v>
      </c>
      <c r="AK42" s="11" t="s">
        <v>88</v>
      </c>
      <c r="AL42" s="11" t="s">
        <v>84</v>
      </c>
      <c r="AM42" s="12">
        <v>0</v>
      </c>
      <c r="AN42" s="25">
        <v>45950.71597222222</v>
      </c>
      <c r="AO42" s="25">
        <v>45950.763865740737</v>
      </c>
      <c r="AP42" s="25">
        <v>45950.840451388889</v>
      </c>
      <c r="AQ42" s="11">
        <v>27</v>
      </c>
      <c r="AR42" s="11" t="s">
        <v>425</v>
      </c>
      <c r="AS42" s="13">
        <v>50</v>
      </c>
      <c r="AT42" s="12">
        <v>25.5</v>
      </c>
      <c r="AU42" s="12">
        <v>0</v>
      </c>
      <c r="AV42" s="12">
        <v>850</v>
      </c>
      <c r="AW42" s="12">
        <v>0</v>
      </c>
      <c r="AX42" s="12">
        <v>250</v>
      </c>
      <c r="AY42" s="12">
        <v>0</v>
      </c>
      <c r="AZ42" s="12">
        <v>0</v>
      </c>
      <c r="BA42" s="12">
        <v>2125</v>
      </c>
      <c r="BB42" s="12">
        <v>0</v>
      </c>
      <c r="BC42" s="12">
        <v>2375</v>
      </c>
      <c r="BD42" s="14"/>
      <c r="BE42" s="15">
        <f t="shared" si="17"/>
        <v>45950</v>
      </c>
      <c r="BF42" s="16">
        <f t="shared" si="18"/>
        <v>0.76386574073694646</v>
      </c>
      <c r="BG42" s="17">
        <f t="shared" si="19"/>
        <v>850</v>
      </c>
      <c r="BH42" s="18">
        <f t="shared" si="20"/>
        <v>50</v>
      </c>
      <c r="BI42" s="19">
        <f t="shared" si="21"/>
        <v>25.5</v>
      </c>
      <c r="BJ42" s="17">
        <f t="shared" si="22"/>
        <v>2125</v>
      </c>
      <c r="BK42" s="17">
        <f t="shared" si="23"/>
        <v>0</v>
      </c>
      <c r="BL42" s="17">
        <f t="shared" si="24"/>
        <v>250</v>
      </c>
      <c r="BM42" s="17">
        <f t="shared" si="25"/>
        <v>0</v>
      </c>
      <c r="BN42" s="17">
        <f t="shared" si="26"/>
        <v>0</v>
      </c>
      <c r="BO42" s="17">
        <f t="shared" si="27"/>
        <v>0</v>
      </c>
      <c r="BP42" s="17">
        <f t="shared" si="28"/>
        <v>0</v>
      </c>
      <c r="BQ42" s="20">
        <f t="shared" si="29"/>
        <v>2375</v>
      </c>
      <c r="BR42" s="17">
        <f t="shared" si="30"/>
        <v>380</v>
      </c>
      <c r="BS42" s="17">
        <f t="shared" si="31"/>
        <v>2755</v>
      </c>
      <c r="BT42" s="21">
        <f t="shared" si="32"/>
        <v>95</v>
      </c>
      <c r="BU42" s="21">
        <f t="shared" si="33"/>
        <v>2660</v>
      </c>
      <c r="BV42" s="21">
        <f t="shared" si="34"/>
        <v>0</v>
      </c>
      <c r="BW42" s="21">
        <f t="shared" si="35"/>
        <v>2660</v>
      </c>
      <c r="BX42" s="22">
        <f t="shared" si="36"/>
        <v>0</v>
      </c>
      <c r="BY42" s="21">
        <f t="shared" si="37"/>
        <v>2375</v>
      </c>
      <c r="BZ42" s="23"/>
      <c r="CC42" s="23"/>
    </row>
    <row r="43" spans="1:81" x14ac:dyDescent="0.25">
      <c r="A43" s="10">
        <v>57608</v>
      </c>
      <c r="B43" s="32">
        <v>57608</v>
      </c>
      <c r="C43" s="32"/>
      <c r="D43" t="s">
        <v>69</v>
      </c>
      <c r="E43" t="s">
        <v>426</v>
      </c>
      <c r="F43" t="s">
        <v>142</v>
      </c>
      <c r="G43" t="s">
        <v>273</v>
      </c>
      <c r="H43" t="s">
        <v>143</v>
      </c>
      <c r="I43" s="30">
        <v>125287710</v>
      </c>
      <c r="J43" s="11"/>
      <c r="K43" s="11"/>
      <c r="L43" s="11"/>
      <c r="M43" s="12">
        <v>0</v>
      </c>
      <c r="N43" s="11"/>
      <c r="O43" s="11"/>
      <c r="P43" s="12">
        <v>0</v>
      </c>
      <c r="Q43" s="11"/>
      <c r="R43" s="11"/>
      <c r="S43" s="12">
        <v>0</v>
      </c>
      <c r="T43" s="12"/>
      <c r="U43" s="12"/>
      <c r="V43" s="12">
        <v>0</v>
      </c>
      <c r="W43" s="12"/>
      <c r="X43" s="12"/>
      <c r="Y43" s="12">
        <v>0</v>
      </c>
      <c r="Z43" s="11" t="s">
        <v>282</v>
      </c>
      <c r="AA43" s="11">
        <v>2025</v>
      </c>
      <c r="AB43" s="11" t="s">
        <v>74</v>
      </c>
      <c r="AC43" s="11" t="s">
        <v>427</v>
      </c>
      <c r="AD43" s="11" t="s">
        <v>428</v>
      </c>
      <c r="AE43" s="11" t="s">
        <v>429</v>
      </c>
      <c r="AF43" s="11" t="s">
        <v>78</v>
      </c>
      <c r="AG43" s="11" t="s">
        <v>430</v>
      </c>
      <c r="AH43" s="11" t="s">
        <v>380</v>
      </c>
      <c r="AI43" s="11" t="s">
        <v>381</v>
      </c>
      <c r="AJ43" s="11" t="s">
        <v>82</v>
      </c>
      <c r="AK43" s="11" t="s">
        <v>88</v>
      </c>
      <c r="AL43" s="11" t="s">
        <v>84</v>
      </c>
      <c r="AM43" s="12">
        <v>0</v>
      </c>
      <c r="AN43" s="25">
        <v>45951.344444444447</v>
      </c>
      <c r="AO43" s="25">
        <v>45951.402685185181</v>
      </c>
      <c r="AP43" s="25">
        <v>45951.444780092592</v>
      </c>
      <c r="AQ43" s="11">
        <v>0</v>
      </c>
      <c r="AR43" s="11" t="s">
        <v>431</v>
      </c>
      <c r="AS43" s="13">
        <v>23</v>
      </c>
      <c r="AT43" s="12">
        <v>25.5</v>
      </c>
      <c r="AU43" s="12">
        <v>0</v>
      </c>
      <c r="AV43" s="12">
        <v>850</v>
      </c>
      <c r="AW43" s="12">
        <v>0</v>
      </c>
      <c r="AX43" s="12">
        <v>0</v>
      </c>
      <c r="AY43" s="12">
        <v>0</v>
      </c>
      <c r="AZ43" s="12">
        <v>0</v>
      </c>
      <c r="BA43" s="12">
        <v>1436.5</v>
      </c>
      <c r="BB43" s="12">
        <v>0</v>
      </c>
      <c r="BC43" s="12">
        <v>1436.5</v>
      </c>
      <c r="BD43" s="14"/>
      <c r="BE43" s="15">
        <f t="shared" si="17"/>
        <v>45951</v>
      </c>
      <c r="BF43" s="16">
        <f t="shared" si="18"/>
        <v>0.40268518518132623</v>
      </c>
      <c r="BG43" s="17">
        <f t="shared" si="19"/>
        <v>850</v>
      </c>
      <c r="BH43" s="18">
        <f t="shared" si="20"/>
        <v>23</v>
      </c>
      <c r="BI43" s="19">
        <f t="shared" si="21"/>
        <v>25.5</v>
      </c>
      <c r="BJ43" s="17">
        <f t="shared" si="22"/>
        <v>1436.5</v>
      </c>
      <c r="BK43" s="17">
        <f t="shared" si="23"/>
        <v>0</v>
      </c>
      <c r="BL43" s="17">
        <f t="shared" si="24"/>
        <v>0</v>
      </c>
      <c r="BM43" s="17">
        <f t="shared" si="25"/>
        <v>0</v>
      </c>
      <c r="BN43" s="17">
        <f t="shared" si="26"/>
        <v>0</v>
      </c>
      <c r="BO43" s="17">
        <f t="shared" si="27"/>
        <v>0</v>
      </c>
      <c r="BP43" s="17">
        <f t="shared" si="28"/>
        <v>0</v>
      </c>
      <c r="BQ43" s="20">
        <f t="shared" si="29"/>
        <v>1436.5</v>
      </c>
      <c r="BR43" s="17">
        <f t="shared" si="30"/>
        <v>229.84</v>
      </c>
      <c r="BS43" s="17">
        <f t="shared" si="31"/>
        <v>1666.34</v>
      </c>
      <c r="BT43" s="21">
        <f t="shared" si="32"/>
        <v>57.46</v>
      </c>
      <c r="BU43" s="21">
        <f t="shared" si="33"/>
        <v>1608.8799999999999</v>
      </c>
      <c r="BV43" s="21">
        <f t="shared" si="34"/>
        <v>0</v>
      </c>
      <c r="BW43" s="21">
        <f t="shared" si="35"/>
        <v>1608.8799999999999</v>
      </c>
      <c r="BX43" s="22">
        <f t="shared" si="36"/>
        <v>0</v>
      </c>
      <c r="BY43" s="21">
        <f t="shared" si="37"/>
        <v>1436.5</v>
      </c>
      <c r="BZ43" s="23"/>
      <c r="CC43" s="23"/>
    </row>
    <row r="44" spans="1:81" x14ac:dyDescent="0.25">
      <c r="A44" s="10">
        <v>57666</v>
      </c>
      <c r="B44" s="32">
        <v>57666</v>
      </c>
      <c r="C44" s="32"/>
      <c r="D44" t="s">
        <v>69</v>
      </c>
      <c r="E44" t="s">
        <v>364</v>
      </c>
      <c r="F44" t="s">
        <v>142</v>
      </c>
      <c r="G44" t="s">
        <v>273</v>
      </c>
      <c r="H44" t="s">
        <v>143</v>
      </c>
      <c r="I44" s="30">
        <v>125288927</v>
      </c>
      <c r="J44" s="11"/>
      <c r="K44" s="11"/>
      <c r="L44" s="11"/>
      <c r="M44" s="12">
        <v>0</v>
      </c>
      <c r="N44" s="11"/>
      <c r="O44" s="11"/>
      <c r="P44" s="12">
        <v>0</v>
      </c>
      <c r="Q44" s="11"/>
      <c r="R44" s="11"/>
      <c r="S44" s="12">
        <v>0</v>
      </c>
      <c r="T44" s="12"/>
      <c r="U44" s="12"/>
      <c r="V44" s="12">
        <v>0</v>
      </c>
      <c r="W44" s="12"/>
      <c r="X44" s="12"/>
      <c r="Y44" s="12">
        <v>0</v>
      </c>
      <c r="Z44" s="11" t="s">
        <v>432</v>
      </c>
      <c r="AA44" s="11">
        <v>2026</v>
      </c>
      <c r="AB44" s="11" t="s">
        <v>132</v>
      </c>
      <c r="AC44" s="11" t="s">
        <v>133</v>
      </c>
      <c r="AD44" s="11" t="s">
        <v>433</v>
      </c>
      <c r="AE44" s="11" t="s">
        <v>434</v>
      </c>
      <c r="AF44" s="11" t="s">
        <v>78</v>
      </c>
      <c r="AG44" s="11" t="s">
        <v>435</v>
      </c>
      <c r="AH44" s="11" t="s">
        <v>109</v>
      </c>
      <c r="AI44" s="11" t="s">
        <v>110</v>
      </c>
      <c r="AJ44" s="11" t="s">
        <v>372</v>
      </c>
      <c r="AK44" s="11" t="s">
        <v>88</v>
      </c>
      <c r="AL44" s="11" t="s">
        <v>84</v>
      </c>
      <c r="AM44" s="12">
        <v>0</v>
      </c>
      <c r="AN44" s="25">
        <v>45952.296527777777</v>
      </c>
      <c r="AO44" s="25">
        <v>45952.441759259258</v>
      </c>
      <c r="AP44" s="25">
        <v>45952.514027777783</v>
      </c>
      <c r="AQ44" s="11">
        <v>73</v>
      </c>
      <c r="AR44" s="11" t="s">
        <v>436</v>
      </c>
      <c r="AS44" s="13">
        <v>61</v>
      </c>
      <c r="AT44" s="12">
        <v>25.5</v>
      </c>
      <c r="AU44" s="12">
        <v>0</v>
      </c>
      <c r="AV44" s="12">
        <v>850</v>
      </c>
      <c r="AW44" s="12">
        <v>0</v>
      </c>
      <c r="AX44" s="12">
        <v>700</v>
      </c>
      <c r="AY44" s="12">
        <v>0</v>
      </c>
      <c r="AZ44" s="12">
        <v>0</v>
      </c>
      <c r="BA44" s="12">
        <v>2405.5</v>
      </c>
      <c r="BB44" s="12">
        <v>0</v>
      </c>
      <c r="BC44" s="12">
        <v>3105.5</v>
      </c>
      <c r="BD44" s="14"/>
      <c r="BE44" s="15">
        <f t="shared" si="17"/>
        <v>45952</v>
      </c>
      <c r="BF44" s="16">
        <f t="shared" si="18"/>
        <v>0.44175925925810589</v>
      </c>
      <c r="BG44" s="17">
        <f t="shared" si="19"/>
        <v>850</v>
      </c>
      <c r="BH44" s="18">
        <f t="shared" si="20"/>
        <v>61</v>
      </c>
      <c r="BI44" s="19">
        <f t="shared" si="21"/>
        <v>25.5</v>
      </c>
      <c r="BJ44" s="17">
        <f t="shared" si="22"/>
        <v>2405.5</v>
      </c>
      <c r="BK44" s="17">
        <f t="shared" si="23"/>
        <v>0</v>
      </c>
      <c r="BL44" s="17">
        <f t="shared" si="24"/>
        <v>700</v>
      </c>
      <c r="BM44" s="17">
        <f t="shared" si="25"/>
        <v>0</v>
      </c>
      <c r="BN44" s="17">
        <f t="shared" si="26"/>
        <v>0</v>
      </c>
      <c r="BO44" s="17">
        <f t="shared" si="27"/>
        <v>0</v>
      </c>
      <c r="BP44" s="17">
        <f t="shared" si="28"/>
        <v>0</v>
      </c>
      <c r="BQ44" s="20">
        <f t="shared" si="29"/>
        <v>3105.5</v>
      </c>
      <c r="BR44" s="17">
        <f t="shared" si="30"/>
        <v>496.88</v>
      </c>
      <c r="BS44" s="17">
        <f t="shared" si="31"/>
        <v>3602.38</v>
      </c>
      <c r="BT44" s="21">
        <f t="shared" si="32"/>
        <v>124.22</v>
      </c>
      <c r="BU44" s="21">
        <f t="shared" si="33"/>
        <v>3478.1600000000003</v>
      </c>
      <c r="BV44" s="21">
        <f t="shared" si="34"/>
        <v>0</v>
      </c>
      <c r="BW44" s="21">
        <f t="shared" si="35"/>
        <v>3478.1600000000003</v>
      </c>
      <c r="BX44" s="22">
        <f t="shared" si="36"/>
        <v>0</v>
      </c>
      <c r="BY44" s="21">
        <f t="shared" si="37"/>
        <v>3105.5</v>
      </c>
      <c r="BZ44" s="23"/>
      <c r="CC44" s="23"/>
    </row>
    <row r="45" spans="1:81" x14ac:dyDescent="0.25">
      <c r="A45" s="11">
        <v>57667</v>
      </c>
      <c r="B45" s="32">
        <v>57667</v>
      </c>
      <c r="C45" s="32"/>
      <c r="D45" t="s">
        <v>69</v>
      </c>
      <c r="E45" t="s">
        <v>364</v>
      </c>
      <c r="F45" t="s">
        <v>142</v>
      </c>
      <c r="G45" t="s">
        <v>273</v>
      </c>
      <c r="H45" t="s">
        <v>143</v>
      </c>
      <c r="I45" s="30">
        <v>125288931</v>
      </c>
      <c r="J45" s="11"/>
      <c r="K45" s="11"/>
      <c r="L45" s="27"/>
      <c r="M45" s="12">
        <v>0</v>
      </c>
      <c r="N45" s="11"/>
      <c r="O45" s="11"/>
      <c r="P45" s="12">
        <v>0</v>
      </c>
      <c r="Q45" s="11"/>
      <c r="R45" s="11"/>
      <c r="S45" s="12">
        <v>0</v>
      </c>
      <c r="T45" s="12"/>
      <c r="U45" s="12"/>
      <c r="V45" s="12">
        <v>0</v>
      </c>
      <c r="W45" s="12"/>
      <c r="X45" s="12"/>
      <c r="Y45" s="12">
        <v>0</v>
      </c>
      <c r="Z45" s="11" t="s">
        <v>437</v>
      </c>
      <c r="AA45" s="11">
        <v>1994</v>
      </c>
      <c r="AB45" s="11" t="s">
        <v>438</v>
      </c>
      <c r="AC45" s="11" t="s">
        <v>439</v>
      </c>
      <c r="AD45" s="11" t="s">
        <v>440</v>
      </c>
      <c r="AE45" s="11" t="s">
        <v>441</v>
      </c>
      <c r="AF45" s="11" t="s">
        <v>78</v>
      </c>
      <c r="AG45" s="11" t="s">
        <v>442</v>
      </c>
      <c r="AH45" s="11" t="s">
        <v>109</v>
      </c>
      <c r="AI45" s="11" t="s">
        <v>110</v>
      </c>
      <c r="AJ45" s="11" t="s">
        <v>372</v>
      </c>
      <c r="AK45" s="11" t="s">
        <v>88</v>
      </c>
      <c r="AL45" s="11" t="s">
        <v>84</v>
      </c>
      <c r="AM45" s="12">
        <v>0</v>
      </c>
      <c r="AN45" s="25">
        <v>45952.301388888889</v>
      </c>
      <c r="AO45" s="25">
        <v>45952.37190972222</v>
      </c>
      <c r="AP45" s="25">
        <v>45952.435798611114</v>
      </c>
      <c r="AQ45" s="11">
        <v>8</v>
      </c>
      <c r="AR45" s="11" t="s">
        <v>443</v>
      </c>
      <c r="AS45" s="13">
        <v>45</v>
      </c>
      <c r="AT45" s="12">
        <v>25.5</v>
      </c>
      <c r="AU45" s="12">
        <v>0</v>
      </c>
      <c r="AV45" s="12">
        <v>850</v>
      </c>
      <c r="AW45" s="12">
        <v>0</v>
      </c>
      <c r="AX45" s="12">
        <v>700</v>
      </c>
      <c r="AY45" s="12">
        <v>0</v>
      </c>
      <c r="AZ45" s="12">
        <v>2000</v>
      </c>
      <c r="BA45" s="12">
        <v>1997.5</v>
      </c>
      <c r="BB45" s="12">
        <v>0</v>
      </c>
      <c r="BC45" s="12">
        <v>4697.5</v>
      </c>
      <c r="BD45" s="14"/>
      <c r="BE45" s="15">
        <f t="shared" si="17"/>
        <v>45952</v>
      </c>
      <c r="BF45" s="16">
        <f t="shared" si="18"/>
        <v>0.37190972222015262</v>
      </c>
      <c r="BG45" s="17">
        <f t="shared" si="19"/>
        <v>850</v>
      </c>
      <c r="BH45" s="18">
        <f t="shared" si="20"/>
        <v>45</v>
      </c>
      <c r="BI45" s="19">
        <f t="shared" si="21"/>
        <v>25.5</v>
      </c>
      <c r="BJ45" s="17">
        <f t="shared" si="22"/>
        <v>1997.5</v>
      </c>
      <c r="BK45" s="17">
        <f t="shared" si="23"/>
        <v>0</v>
      </c>
      <c r="BL45" s="17">
        <f t="shared" si="24"/>
        <v>700</v>
      </c>
      <c r="BM45" s="17">
        <f t="shared" si="25"/>
        <v>0</v>
      </c>
      <c r="BN45" s="17">
        <f t="shared" si="26"/>
        <v>2000</v>
      </c>
      <c r="BO45" s="17">
        <f t="shared" si="27"/>
        <v>0</v>
      </c>
      <c r="BP45" s="17">
        <f t="shared" si="28"/>
        <v>0</v>
      </c>
      <c r="BQ45" s="20">
        <f t="shared" si="29"/>
        <v>4697.5</v>
      </c>
      <c r="BR45" s="17">
        <f t="shared" si="30"/>
        <v>751.6</v>
      </c>
      <c r="BS45" s="17">
        <f t="shared" si="31"/>
        <v>5449.1</v>
      </c>
      <c r="BT45" s="21">
        <f t="shared" si="32"/>
        <v>187.9</v>
      </c>
      <c r="BU45" s="21">
        <f t="shared" si="33"/>
        <v>5261.2000000000007</v>
      </c>
      <c r="BV45" s="21">
        <f t="shared" si="34"/>
        <v>0</v>
      </c>
      <c r="BW45" s="21">
        <f t="shared" si="35"/>
        <v>5261.2000000000007</v>
      </c>
      <c r="BX45" s="22">
        <f t="shared" si="36"/>
        <v>0</v>
      </c>
      <c r="BY45" s="21">
        <f t="shared" si="37"/>
        <v>4697.5</v>
      </c>
      <c r="BZ45" s="23"/>
      <c r="CC45" s="23"/>
    </row>
    <row r="46" spans="1:81" x14ac:dyDescent="0.25">
      <c r="A46" s="10">
        <v>57699</v>
      </c>
      <c r="B46" s="32">
        <v>57699</v>
      </c>
      <c r="C46" s="32" t="s">
        <v>363</v>
      </c>
      <c r="D46" t="s">
        <v>69</v>
      </c>
      <c r="E46" t="s">
        <v>246</v>
      </c>
      <c r="F46" t="s">
        <v>142</v>
      </c>
      <c r="G46" t="s">
        <v>273</v>
      </c>
      <c r="H46" s="31" t="s">
        <v>143</v>
      </c>
      <c r="I46" s="30">
        <v>125289511</v>
      </c>
      <c r="J46" s="11"/>
      <c r="K46" s="11"/>
      <c r="L46" s="11"/>
      <c r="M46" s="12">
        <v>0</v>
      </c>
      <c r="N46" s="11"/>
      <c r="O46" s="11"/>
      <c r="P46" s="12">
        <v>0</v>
      </c>
      <c r="Q46" s="11"/>
      <c r="R46" s="11"/>
      <c r="S46" s="12">
        <v>0</v>
      </c>
      <c r="T46" s="12"/>
      <c r="U46" s="12"/>
      <c r="V46" s="12">
        <v>0</v>
      </c>
      <c r="W46" s="12"/>
      <c r="X46" s="12"/>
      <c r="Y46" s="12">
        <v>0</v>
      </c>
      <c r="Z46" s="11" t="s">
        <v>444</v>
      </c>
      <c r="AA46" s="11">
        <v>2000</v>
      </c>
      <c r="AB46" s="11" t="s">
        <v>74</v>
      </c>
      <c r="AC46" s="11" t="s">
        <v>445</v>
      </c>
      <c r="AD46" s="11" t="s">
        <v>446</v>
      </c>
      <c r="AE46" s="11" t="s">
        <v>447</v>
      </c>
      <c r="AF46" s="11" t="s">
        <v>78</v>
      </c>
      <c r="AG46" s="11" t="s">
        <v>448</v>
      </c>
      <c r="AH46" s="11" t="s">
        <v>396</v>
      </c>
      <c r="AI46" s="11" t="s">
        <v>259</v>
      </c>
      <c r="AJ46" s="11" t="s">
        <v>251</v>
      </c>
      <c r="AK46" s="11" t="s">
        <v>88</v>
      </c>
      <c r="AL46" s="11" t="s">
        <v>84</v>
      </c>
      <c r="AM46" s="12">
        <v>0</v>
      </c>
      <c r="AN46" s="25">
        <v>45952.643055555556</v>
      </c>
      <c r="AO46" s="25">
        <v>45952.700567129628</v>
      </c>
      <c r="AP46" s="25">
        <v>45952.83189814815</v>
      </c>
      <c r="AQ46" s="11">
        <v>69</v>
      </c>
      <c r="AR46" s="11" t="s">
        <v>449</v>
      </c>
      <c r="AS46" s="13">
        <v>107</v>
      </c>
      <c r="AT46" s="12">
        <v>25.5</v>
      </c>
      <c r="AU46" s="12">
        <v>0</v>
      </c>
      <c r="AV46" s="12">
        <v>850</v>
      </c>
      <c r="AW46" s="12">
        <v>0</v>
      </c>
      <c r="AX46" s="12">
        <v>900</v>
      </c>
      <c r="AY46" s="12">
        <v>0</v>
      </c>
      <c r="AZ46" s="12">
        <v>1862</v>
      </c>
      <c r="BA46" s="12">
        <v>3578.5</v>
      </c>
      <c r="BB46" s="12">
        <v>0</v>
      </c>
      <c r="BC46" s="12">
        <v>6340.5</v>
      </c>
      <c r="BD46" s="14"/>
      <c r="BE46" s="15">
        <f t="shared" si="17"/>
        <v>45952</v>
      </c>
      <c r="BF46" s="16">
        <f t="shared" si="18"/>
        <v>0.70056712962832535</v>
      </c>
      <c r="BG46" s="17">
        <f t="shared" si="19"/>
        <v>850</v>
      </c>
      <c r="BH46" s="18">
        <f t="shared" si="20"/>
        <v>107</v>
      </c>
      <c r="BI46" s="19">
        <f t="shared" si="21"/>
        <v>25.5</v>
      </c>
      <c r="BJ46" s="17">
        <f t="shared" si="22"/>
        <v>3578.5</v>
      </c>
      <c r="BK46" s="17">
        <f t="shared" si="23"/>
        <v>0</v>
      </c>
      <c r="BL46" s="17">
        <f t="shared" si="24"/>
        <v>900</v>
      </c>
      <c r="BM46" s="17">
        <f t="shared" si="25"/>
        <v>0</v>
      </c>
      <c r="BN46" s="17">
        <f t="shared" si="26"/>
        <v>1862</v>
      </c>
      <c r="BO46" s="17">
        <f t="shared" si="27"/>
        <v>0</v>
      </c>
      <c r="BP46" s="17">
        <f t="shared" si="28"/>
        <v>0</v>
      </c>
      <c r="BQ46" s="20">
        <f t="shared" si="29"/>
        <v>6340.5</v>
      </c>
      <c r="BR46" s="17">
        <f t="shared" si="30"/>
        <v>1014.48</v>
      </c>
      <c r="BS46" s="17">
        <f t="shared" si="31"/>
        <v>7354.98</v>
      </c>
      <c r="BT46" s="21">
        <f t="shared" si="32"/>
        <v>253.62</v>
      </c>
      <c r="BU46" s="21">
        <f t="shared" si="33"/>
        <v>7101.36</v>
      </c>
      <c r="BV46" s="21">
        <f t="shared" si="34"/>
        <v>0</v>
      </c>
      <c r="BW46" s="21">
        <f t="shared" si="35"/>
        <v>7101.36</v>
      </c>
      <c r="BX46" s="22">
        <f t="shared" si="36"/>
        <v>0</v>
      </c>
      <c r="BY46" s="21">
        <f t="shared" si="37"/>
        <v>6340.5</v>
      </c>
      <c r="BZ46" s="23"/>
      <c r="CC46" s="23"/>
    </row>
    <row r="47" spans="1:81" x14ac:dyDescent="0.25">
      <c r="A47" s="11">
        <v>57785</v>
      </c>
      <c r="B47" s="32">
        <v>57785</v>
      </c>
      <c r="C47" s="32"/>
      <c r="D47" t="s">
        <v>69</v>
      </c>
      <c r="E47" t="s">
        <v>141</v>
      </c>
      <c r="F47" t="s">
        <v>142</v>
      </c>
      <c r="G47" t="s">
        <v>273</v>
      </c>
      <c r="H47" s="31" t="s">
        <v>143</v>
      </c>
      <c r="I47" s="30">
        <v>125291054</v>
      </c>
      <c r="J47" s="11"/>
      <c r="K47" s="11"/>
      <c r="L47" s="11"/>
      <c r="M47" s="12">
        <v>0</v>
      </c>
      <c r="N47" s="11"/>
      <c r="O47" s="11"/>
      <c r="P47" s="12">
        <v>0</v>
      </c>
      <c r="Q47" s="11"/>
      <c r="R47" s="11"/>
      <c r="S47" s="12">
        <v>0</v>
      </c>
      <c r="T47" s="12"/>
      <c r="U47" s="12"/>
      <c r="V47" s="12">
        <v>0</v>
      </c>
      <c r="W47" s="12"/>
      <c r="X47" s="12"/>
      <c r="Y47" s="12">
        <v>0</v>
      </c>
      <c r="Z47" s="11" t="s">
        <v>450</v>
      </c>
      <c r="AA47" s="11">
        <v>1996</v>
      </c>
      <c r="AB47" s="11" t="s">
        <v>74</v>
      </c>
      <c r="AC47" s="11" t="s">
        <v>451</v>
      </c>
      <c r="AD47" s="11" t="s">
        <v>452</v>
      </c>
      <c r="AE47" s="11" t="s">
        <v>453</v>
      </c>
      <c r="AF47" s="11" t="s">
        <v>78</v>
      </c>
      <c r="AG47" s="11" t="s">
        <v>454</v>
      </c>
      <c r="AH47" s="11" t="s">
        <v>189</v>
      </c>
      <c r="AI47" s="11" t="s">
        <v>229</v>
      </c>
      <c r="AJ47" s="11" t="s">
        <v>279</v>
      </c>
      <c r="AK47" s="11" t="s">
        <v>88</v>
      </c>
      <c r="AL47" s="11" t="s">
        <v>84</v>
      </c>
      <c r="AM47" s="12">
        <v>0</v>
      </c>
      <c r="AN47" s="25">
        <v>45953.888888888891</v>
      </c>
      <c r="AO47" s="25">
        <v>45953.963807870372</v>
      </c>
      <c r="AP47" s="25">
        <v>45954.022199074076</v>
      </c>
      <c r="AQ47" s="11">
        <v>53</v>
      </c>
      <c r="AR47" s="11" t="s">
        <v>455</v>
      </c>
      <c r="AS47" s="13">
        <v>75</v>
      </c>
      <c r="AT47" s="12">
        <v>25.5</v>
      </c>
      <c r="AU47" s="12">
        <v>0</v>
      </c>
      <c r="AV47" s="12">
        <v>850</v>
      </c>
      <c r="AW47" s="12">
        <v>0</v>
      </c>
      <c r="AX47" s="12">
        <v>603.44000000000005</v>
      </c>
      <c r="AY47" s="12">
        <v>0</v>
      </c>
      <c r="AZ47" s="12">
        <v>0</v>
      </c>
      <c r="BA47" s="12">
        <v>2762.5</v>
      </c>
      <c r="BB47" s="12">
        <v>1000</v>
      </c>
      <c r="BC47" s="12">
        <v>4365.9399999999996</v>
      </c>
      <c r="BD47" s="14"/>
      <c r="BE47" s="15">
        <f t="shared" si="17"/>
        <v>45953</v>
      </c>
      <c r="BF47" s="16">
        <f t="shared" si="18"/>
        <v>0.96380787037196569</v>
      </c>
      <c r="BG47" s="17">
        <f t="shared" si="19"/>
        <v>850</v>
      </c>
      <c r="BH47" s="18">
        <f t="shared" si="20"/>
        <v>75</v>
      </c>
      <c r="BI47" s="19">
        <f t="shared" si="21"/>
        <v>25.5</v>
      </c>
      <c r="BJ47" s="17">
        <f t="shared" si="22"/>
        <v>2762.5</v>
      </c>
      <c r="BK47" s="17">
        <f t="shared" si="23"/>
        <v>0</v>
      </c>
      <c r="BL47" s="17">
        <f t="shared" si="24"/>
        <v>603.44000000000005</v>
      </c>
      <c r="BM47" s="17">
        <f t="shared" si="25"/>
        <v>0</v>
      </c>
      <c r="BN47" s="17">
        <f t="shared" si="26"/>
        <v>0</v>
      </c>
      <c r="BO47" s="17">
        <f t="shared" si="27"/>
        <v>1000</v>
      </c>
      <c r="BP47" s="17">
        <f t="shared" si="28"/>
        <v>0</v>
      </c>
      <c r="BQ47" s="20">
        <f t="shared" si="29"/>
        <v>4365.9400000000005</v>
      </c>
      <c r="BR47" s="17">
        <f t="shared" si="30"/>
        <v>698.55040000000008</v>
      </c>
      <c r="BS47" s="17">
        <f t="shared" si="31"/>
        <v>5064.4904000000006</v>
      </c>
      <c r="BT47" s="21">
        <f t="shared" si="32"/>
        <v>174.63760000000002</v>
      </c>
      <c r="BU47" s="21">
        <f t="shared" si="33"/>
        <v>4889.8528000000006</v>
      </c>
      <c r="BV47" s="21">
        <f t="shared" si="34"/>
        <v>0</v>
      </c>
      <c r="BW47" s="21">
        <f t="shared" si="35"/>
        <v>4889.8528000000006</v>
      </c>
      <c r="BX47" s="22">
        <f t="shared" si="36"/>
        <v>0</v>
      </c>
      <c r="BY47" s="21">
        <f t="shared" si="37"/>
        <v>4365.9400000000005</v>
      </c>
      <c r="BZ47" s="23"/>
      <c r="CC47" s="23"/>
    </row>
    <row r="48" spans="1:81" x14ac:dyDescent="0.25">
      <c r="A48" s="11">
        <v>57855</v>
      </c>
      <c r="B48" s="32">
        <v>57855</v>
      </c>
      <c r="C48" s="32"/>
      <c r="D48" t="s">
        <v>69</v>
      </c>
      <c r="E48" t="s">
        <v>456</v>
      </c>
      <c r="F48" t="s">
        <v>142</v>
      </c>
      <c r="G48" t="s">
        <v>273</v>
      </c>
      <c r="H48" s="31" t="s">
        <v>295</v>
      </c>
      <c r="I48" s="30">
        <v>125292218</v>
      </c>
      <c r="J48" s="11"/>
      <c r="K48" s="26"/>
      <c r="L48" s="11"/>
      <c r="M48" s="12">
        <v>0</v>
      </c>
      <c r="N48" s="11"/>
      <c r="O48" s="11"/>
      <c r="P48" s="12">
        <v>0</v>
      </c>
      <c r="Q48" s="11"/>
      <c r="R48" s="11"/>
      <c r="S48" s="12">
        <v>0</v>
      </c>
      <c r="T48" s="12"/>
      <c r="U48" s="12"/>
      <c r="V48" s="12">
        <v>0</v>
      </c>
      <c r="W48" s="12"/>
      <c r="X48" s="12"/>
      <c r="Y48" s="12">
        <v>0</v>
      </c>
      <c r="Z48" s="24" t="s">
        <v>457</v>
      </c>
      <c r="AA48" s="11">
        <v>2025</v>
      </c>
      <c r="AB48" s="11" t="s">
        <v>289</v>
      </c>
      <c r="AC48" s="11" t="s">
        <v>458</v>
      </c>
      <c r="AD48" s="11" t="s">
        <v>459</v>
      </c>
      <c r="AE48" s="11" t="s">
        <v>317</v>
      </c>
      <c r="AF48" s="11" t="s">
        <v>78</v>
      </c>
      <c r="AG48" s="11" t="s">
        <v>460</v>
      </c>
      <c r="AH48" s="11" t="s">
        <v>306</v>
      </c>
      <c r="AI48" s="11" t="s">
        <v>172</v>
      </c>
      <c r="AJ48" s="11" t="s">
        <v>99</v>
      </c>
      <c r="AK48" s="11" t="s">
        <v>88</v>
      </c>
      <c r="AL48" s="11" t="s">
        <v>84</v>
      </c>
      <c r="AM48" s="12">
        <v>0</v>
      </c>
      <c r="AN48" s="25">
        <v>45954.961805555555</v>
      </c>
      <c r="AO48" s="25">
        <v>45954.996689814812</v>
      </c>
      <c r="AP48" s="25">
        <v>45955.036493055552</v>
      </c>
      <c r="AQ48" s="11">
        <v>0</v>
      </c>
      <c r="AR48" s="11" t="s">
        <v>461</v>
      </c>
      <c r="AS48" s="13">
        <v>8</v>
      </c>
      <c r="AT48" s="12">
        <v>0</v>
      </c>
      <c r="AU48" s="12">
        <v>0</v>
      </c>
      <c r="AV48" s="12">
        <v>800</v>
      </c>
      <c r="AW48" s="12">
        <v>0</v>
      </c>
      <c r="AX48" s="12">
        <v>0</v>
      </c>
      <c r="AY48" s="12">
        <v>0</v>
      </c>
      <c r="AZ48" s="12">
        <v>0</v>
      </c>
      <c r="BA48" s="12">
        <v>800</v>
      </c>
      <c r="BB48" s="12">
        <v>150</v>
      </c>
      <c r="BC48" s="12">
        <v>800</v>
      </c>
      <c r="BD48" s="14"/>
      <c r="BE48" s="15">
        <f t="shared" si="17"/>
        <v>45954</v>
      </c>
      <c r="BF48" s="16">
        <f t="shared" si="18"/>
        <v>0.99668981481227092</v>
      </c>
      <c r="BG48" s="17">
        <f t="shared" si="19"/>
        <v>800</v>
      </c>
      <c r="BH48" s="18">
        <f t="shared" si="20"/>
        <v>8</v>
      </c>
      <c r="BI48" s="19">
        <f t="shared" si="21"/>
        <v>0</v>
      </c>
      <c r="BJ48" s="17">
        <f t="shared" si="22"/>
        <v>800</v>
      </c>
      <c r="BK48" s="17">
        <f t="shared" si="23"/>
        <v>0</v>
      </c>
      <c r="BL48" s="17">
        <f t="shared" si="24"/>
        <v>0</v>
      </c>
      <c r="BM48" s="17">
        <f t="shared" si="25"/>
        <v>0</v>
      </c>
      <c r="BN48" s="17">
        <f t="shared" si="26"/>
        <v>0</v>
      </c>
      <c r="BO48" s="17">
        <f t="shared" si="27"/>
        <v>150</v>
      </c>
      <c r="BP48" s="17">
        <f t="shared" si="28"/>
        <v>0</v>
      </c>
      <c r="BQ48" s="20">
        <f t="shared" si="29"/>
        <v>950</v>
      </c>
      <c r="BR48" s="17">
        <f t="shared" si="30"/>
        <v>152</v>
      </c>
      <c r="BS48" s="17">
        <f t="shared" si="31"/>
        <v>1102</v>
      </c>
      <c r="BT48" s="21">
        <f t="shared" si="32"/>
        <v>38</v>
      </c>
      <c r="BU48" s="21">
        <f t="shared" si="33"/>
        <v>1064</v>
      </c>
      <c r="BV48" s="21">
        <f t="shared" si="34"/>
        <v>0</v>
      </c>
      <c r="BW48" s="21">
        <f t="shared" si="35"/>
        <v>1064</v>
      </c>
      <c r="BX48" s="22">
        <f t="shared" si="36"/>
        <v>0</v>
      </c>
      <c r="BY48" s="21">
        <f t="shared" si="37"/>
        <v>950</v>
      </c>
      <c r="BZ48" s="23"/>
      <c r="CC48" s="23"/>
    </row>
    <row r="49" spans="1:81" x14ac:dyDescent="0.25">
      <c r="A49" s="10">
        <v>57870</v>
      </c>
      <c r="B49" s="32">
        <v>57870</v>
      </c>
      <c r="C49" s="32"/>
      <c r="D49" t="s">
        <v>69</v>
      </c>
      <c r="E49" s="28" t="s">
        <v>462</v>
      </c>
      <c r="F49" t="s">
        <v>142</v>
      </c>
      <c r="G49" t="s">
        <v>273</v>
      </c>
      <c r="H49" s="31" t="s">
        <v>143</v>
      </c>
      <c r="I49" s="30">
        <v>125292218</v>
      </c>
      <c r="J49" s="11"/>
      <c r="K49" s="27"/>
      <c r="L49" s="27"/>
      <c r="M49" s="12">
        <v>0</v>
      </c>
      <c r="N49" s="11"/>
      <c r="O49" s="11"/>
      <c r="P49" s="12">
        <v>0</v>
      </c>
      <c r="Q49" s="11"/>
      <c r="R49" s="11"/>
      <c r="S49" s="12">
        <v>0</v>
      </c>
      <c r="T49" s="12"/>
      <c r="U49" s="12"/>
      <c r="V49" s="12">
        <v>0</v>
      </c>
      <c r="W49" s="12"/>
      <c r="X49" s="12"/>
      <c r="Y49" s="12">
        <v>0</v>
      </c>
      <c r="Z49" s="24" t="s">
        <v>457</v>
      </c>
      <c r="AA49" s="11">
        <v>2025</v>
      </c>
      <c r="AB49" s="11" t="s">
        <v>289</v>
      </c>
      <c r="AC49" s="11" t="s">
        <v>458</v>
      </c>
      <c r="AD49" s="11" t="s">
        <v>463</v>
      </c>
      <c r="AE49" s="11" t="s">
        <v>464</v>
      </c>
      <c r="AF49" s="11" t="s">
        <v>78</v>
      </c>
      <c r="AG49" s="11" t="s">
        <v>465</v>
      </c>
      <c r="AH49" s="11" t="s">
        <v>466</v>
      </c>
      <c r="AI49" s="11" t="s">
        <v>324</v>
      </c>
      <c r="AJ49" s="11" t="s">
        <v>82</v>
      </c>
      <c r="AK49" s="11" t="s">
        <v>88</v>
      </c>
      <c r="AL49" s="11" t="s">
        <v>84</v>
      </c>
      <c r="AM49" s="12">
        <v>0</v>
      </c>
      <c r="AN49" s="25">
        <v>45955.277777777781</v>
      </c>
      <c r="AO49" s="25">
        <v>45955.41238425926</v>
      </c>
      <c r="AP49" s="25">
        <v>45955.464085648149</v>
      </c>
      <c r="AQ49" s="11">
        <v>0</v>
      </c>
      <c r="AR49" s="11" t="s">
        <v>467</v>
      </c>
      <c r="AS49" s="13">
        <v>30</v>
      </c>
      <c r="AT49" s="12">
        <v>25.5</v>
      </c>
      <c r="AU49" s="12">
        <v>0</v>
      </c>
      <c r="AV49" s="12">
        <v>850</v>
      </c>
      <c r="AW49" s="12">
        <v>0</v>
      </c>
      <c r="AX49" s="12">
        <v>0</v>
      </c>
      <c r="AY49" s="12">
        <v>0</v>
      </c>
      <c r="AZ49" s="12">
        <v>0</v>
      </c>
      <c r="BA49" s="12">
        <v>1666</v>
      </c>
      <c r="BB49" s="12">
        <v>0</v>
      </c>
      <c r="BC49" s="12">
        <v>1666</v>
      </c>
      <c r="BD49" s="14"/>
      <c r="BE49" s="15">
        <f t="shared" si="17"/>
        <v>45955</v>
      </c>
      <c r="BF49" s="16">
        <f t="shared" si="18"/>
        <v>0.41238425925985212</v>
      </c>
      <c r="BG49" s="17">
        <f t="shared" si="19"/>
        <v>850</v>
      </c>
      <c r="BH49" s="18">
        <f t="shared" si="20"/>
        <v>30</v>
      </c>
      <c r="BI49" s="19">
        <f t="shared" si="21"/>
        <v>25.5</v>
      </c>
      <c r="BJ49" s="17">
        <f t="shared" si="22"/>
        <v>1615</v>
      </c>
      <c r="BK49" s="17">
        <f t="shared" si="23"/>
        <v>0</v>
      </c>
      <c r="BL49" s="17">
        <f t="shared" si="24"/>
        <v>0</v>
      </c>
      <c r="BM49" s="17">
        <f t="shared" si="25"/>
        <v>0</v>
      </c>
      <c r="BN49" s="17">
        <f t="shared" si="26"/>
        <v>0</v>
      </c>
      <c r="BO49" s="17">
        <f t="shared" si="27"/>
        <v>0</v>
      </c>
      <c r="BP49" s="17">
        <f t="shared" si="28"/>
        <v>0</v>
      </c>
      <c r="BQ49" s="20">
        <f t="shared" si="29"/>
        <v>1615</v>
      </c>
      <c r="BR49" s="17">
        <f t="shared" si="30"/>
        <v>258.39999999999998</v>
      </c>
      <c r="BS49" s="17">
        <f t="shared" si="31"/>
        <v>1873.4</v>
      </c>
      <c r="BT49" s="21">
        <f t="shared" si="32"/>
        <v>64.599999999999994</v>
      </c>
      <c r="BU49" s="21">
        <f t="shared" si="33"/>
        <v>1808.8000000000002</v>
      </c>
      <c r="BV49" s="21">
        <f t="shared" si="34"/>
        <v>0</v>
      </c>
      <c r="BW49" s="21">
        <f t="shared" si="35"/>
        <v>1808.8000000000002</v>
      </c>
      <c r="BX49" s="22">
        <f t="shared" si="36"/>
        <v>0</v>
      </c>
      <c r="BY49" s="21">
        <f t="shared" si="37"/>
        <v>1615</v>
      </c>
      <c r="BZ49" s="23"/>
      <c r="CC49" s="23"/>
    </row>
    <row r="50" spans="1:81" x14ac:dyDescent="0.25">
      <c r="A50" s="10">
        <v>57918</v>
      </c>
      <c r="B50" s="32">
        <v>57918</v>
      </c>
      <c r="C50" s="32"/>
      <c r="D50" t="s">
        <v>69</v>
      </c>
      <c r="E50" t="s">
        <v>246</v>
      </c>
      <c r="F50" t="s">
        <v>142</v>
      </c>
      <c r="G50" t="s">
        <v>273</v>
      </c>
      <c r="H50" s="31" t="s">
        <v>143</v>
      </c>
      <c r="I50" s="30">
        <v>125292791</v>
      </c>
      <c r="J50" s="11"/>
      <c r="K50" s="11"/>
      <c r="L50" s="11"/>
      <c r="M50" s="12">
        <v>0</v>
      </c>
      <c r="N50" s="11"/>
      <c r="O50" s="11"/>
      <c r="P50" s="12">
        <v>0</v>
      </c>
      <c r="Q50" s="11"/>
      <c r="R50" s="11"/>
      <c r="S50" s="12">
        <v>0</v>
      </c>
      <c r="T50" s="12"/>
      <c r="U50" s="12"/>
      <c r="V50" s="12">
        <v>0</v>
      </c>
      <c r="W50" s="12"/>
      <c r="X50" s="12"/>
      <c r="Y50" s="12">
        <v>0</v>
      </c>
      <c r="Z50" s="11" t="s">
        <v>468</v>
      </c>
      <c r="AA50" s="11">
        <v>2017</v>
      </c>
      <c r="AB50" s="11" t="s">
        <v>132</v>
      </c>
      <c r="AC50" s="11" t="s">
        <v>469</v>
      </c>
      <c r="AD50" s="11" t="s">
        <v>470</v>
      </c>
      <c r="AE50" s="11" t="s">
        <v>471</v>
      </c>
      <c r="AF50" s="11" t="s">
        <v>78</v>
      </c>
      <c r="AG50" s="11" t="s">
        <v>472</v>
      </c>
      <c r="AH50" s="11" t="s">
        <v>473</v>
      </c>
      <c r="AI50" s="11" t="s">
        <v>371</v>
      </c>
      <c r="AJ50" s="11" t="s">
        <v>99</v>
      </c>
      <c r="AK50" s="11" t="s">
        <v>88</v>
      </c>
      <c r="AL50" s="11" t="s">
        <v>84</v>
      </c>
      <c r="AM50" s="12">
        <v>0</v>
      </c>
      <c r="AN50" s="25">
        <v>45955.828472222223</v>
      </c>
      <c r="AO50" s="25">
        <v>45955.86583333333</v>
      </c>
      <c r="AP50" s="25">
        <v>45955.922152777777</v>
      </c>
      <c r="AQ50" s="11">
        <v>0</v>
      </c>
      <c r="AR50" s="11" t="s">
        <v>474</v>
      </c>
      <c r="AS50" s="13">
        <v>72</v>
      </c>
      <c r="AT50" s="12">
        <v>25.5</v>
      </c>
      <c r="AU50" s="12">
        <v>0</v>
      </c>
      <c r="AV50" s="12">
        <v>850</v>
      </c>
      <c r="AW50" s="12">
        <v>0</v>
      </c>
      <c r="AX50" s="12">
        <v>250</v>
      </c>
      <c r="AY50" s="12">
        <v>0</v>
      </c>
      <c r="AZ50" s="12">
        <v>0</v>
      </c>
      <c r="BA50" s="12">
        <v>2686</v>
      </c>
      <c r="BB50" s="12">
        <v>1000</v>
      </c>
      <c r="BC50" s="12">
        <v>3936</v>
      </c>
      <c r="BD50" s="14"/>
      <c r="BE50" s="15">
        <f t="shared" si="17"/>
        <v>45955</v>
      </c>
      <c r="BF50" s="16">
        <f t="shared" si="18"/>
        <v>0.86583333332964685</v>
      </c>
      <c r="BG50" s="17">
        <f t="shared" si="19"/>
        <v>850</v>
      </c>
      <c r="BH50" s="18">
        <f t="shared" si="20"/>
        <v>72</v>
      </c>
      <c r="BI50" s="19">
        <f t="shared" si="21"/>
        <v>25.5</v>
      </c>
      <c r="BJ50" s="17">
        <f t="shared" si="22"/>
        <v>2686</v>
      </c>
      <c r="BK50" s="17">
        <f t="shared" si="23"/>
        <v>0</v>
      </c>
      <c r="BL50" s="17">
        <f t="shared" si="24"/>
        <v>250</v>
      </c>
      <c r="BM50" s="17">
        <f t="shared" si="25"/>
        <v>0</v>
      </c>
      <c r="BN50" s="17">
        <f t="shared" si="26"/>
        <v>0</v>
      </c>
      <c r="BO50" s="17">
        <f t="shared" si="27"/>
        <v>1000</v>
      </c>
      <c r="BP50" s="17">
        <f t="shared" si="28"/>
        <v>0</v>
      </c>
      <c r="BQ50" s="20">
        <f t="shared" si="29"/>
        <v>3936</v>
      </c>
      <c r="BR50" s="17">
        <f t="shared" si="30"/>
        <v>629.76</v>
      </c>
      <c r="BS50" s="17">
        <f t="shared" si="31"/>
        <v>4565.76</v>
      </c>
      <c r="BT50" s="21">
        <f t="shared" si="32"/>
        <v>157.44</v>
      </c>
      <c r="BU50" s="21">
        <f t="shared" si="33"/>
        <v>4408.3200000000006</v>
      </c>
      <c r="BV50" s="21">
        <f t="shared" si="34"/>
        <v>0</v>
      </c>
      <c r="BW50" s="21">
        <f t="shared" si="35"/>
        <v>4408.3200000000006</v>
      </c>
      <c r="BX50" s="22">
        <f t="shared" si="36"/>
        <v>0</v>
      </c>
      <c r="BY50" s="21">
        <f t="shared" si="37"/>
        <v>3936</v>
      </c>
      <c r="BZ50" s="23"/>
      <c r="CC50" s="23"/>
    </row>
    <row r="51" spans="1:81" x14ac:dyDescent="0.25">
      <c r="A51" s="11">
        <v>57933</v>
      </c>
      <c r="B51" s="32">
        <v>57933</v>
      </c>
      <c r="C51" s="32"/>
      <c r="D51" t="s">
        <v>69</v>
      </c>
      <c r="E51" t="s">
        <v>246</v>
      </c>
      <c r="F51" t="s">
        <v>142</v>
      </c>
      <c r="G51" t="s">
        <v>273</v>
      </c>
      <c r="H51" s="31" t="s">
        <v>143</v>
      </c>
      <c r="I51" s="30">
        <v>125292876</v>
      </c>
      <c r="J51" s="11"/>
      <c r="K51" s="11"/>
      <c r="L51" s="11"/>
      <c r="M51" s="12">
        <v>0</v>
      </c>
      <c r="N51" s="11"/>
      <c r="O51" s="11"/>
      <c r="P51" s="12">
        <v>0</v>
      </c>
      <c r="Q51" s="11"/>
      <c r="R51" s="11"/>
      <c r="S51" s="12">
        <v>0</v>
      </c>
      <c r="T51" s="12"/>
      <c r="U51" s="12"/>
      <c r="V51" s="12">
        <v>0</v>
      </c>
      <c r="W51" s="12"/>
      <c r="X51" s="12"/>
      <c r="Y51" s="12">
        <v>0</v>
      </c>
      <c r="Z51" s="11" t="s">
        <v>475</v>
      </c>
      <c r="AA51" s="11">
        <v>1997</v>
      </c>
      <c r="AB51" s="11" t="s">
        <v>120</v>
      </c>
      <c r="AC51" s="11" t="s">
        <v>476</v>
      </c>
      <c r="AD51" s="11" t="s">
        <v>477</v>
      </c>
      <c r="AE51" s="11" t="s">
        <v>478</v>
      </c>
      <c r="AF51" s="11" t="s">
        <v>78</v>
      </c>
      <c r="AG51" s="11" t="s">
        <v>479</v>
      </c>
      <c r="AH51" s="11" t="s">
        <v>466</v>
      </c>
      <c r="AI51" s="11" t="s">
        <v>324</v>
      </c>
      <c r="AJ51" s="11" t="s">
        <v>99</v>
      </c>
      <c r="AK51" s="11" t="s">
        <v>88</v>
      </c>
      <c r="AL51" s="11" t="s">
        <v>84</v>
      </c>
      <c r="AM51" s="12">
        <v>0</v>
      </c>
      <c r="AN51" s="25">
        <v>45956.025694444441</v>
      </c>
      <c r="AO51" s="25">
        <v>45956.062372685185</v>
      </c>
      <c r="AP51" s="25">
        <v>45956.104131944448</v>
      </c>
      <c r="AQ51" s="11">
        <v>0</v>
      </c>
      <c r="AR51" s="11" t="s">
        <v>480</v>
      </c>
      <c r="AS51" s="13">
        <v>102</v>
      </c>
      <c r="AT51" s="12">
        <v>25.5</v>
      </c>
      <c r="AU51" s="12">
        <v>0</v>
      </c>
      <c r="AV51" s="12">
        <v>850</v>
      </c>
      <c r="AW51" s="12">
        <v>0</v>
      </c>
      <c r="AX51" s="12">
        <v>1200</v>
      </c>
      <c r="AY51" s="12">
        <v>0</v>
      </c>
      <c r="AZ51" s="12">
        <v>0</v>
      </c>
      <c r="BA51" s="12">
        <v>3451</v>
      </c>
      <c r="BB51" s="12">
        <v>0</v>
      </c>
      <c r="BC51" s="12">
        <v>4651</v>
      </c>
      <c r="BD51" s="14"/>
      <c r="BE51" s="15">
        <f t="shared" si="17"/>
        <v>45956</v>
      </c>
      <c r="BF51" s="16">
        <f t="shared" si="18"/>
        <v>6.2372685184527654E-2</v>
      </c>
      <c r="BG51" s="17">
        <f t="shared" si="19"/>
        <v>850</v>
      </c>
      <c r="BH51" s="18">
        <f t="shared" si="20"/>
        <v>102</v>
      </c>
      <c r="BI51" s="19">
        <f t="shared" si="21"/>
        <v>25.5</v>
      </c>
      <c r="BJ51" s="17">
        <f t="shared" si="22"/>
        <v>3451</v>
      </c>
      <c r="BK51" s="17">
        <f t="shared" si="23"/>
        <v>0</v>
      </c>
      <c r="BL51" s="17">
        <f t="shared" si="24"/>
        <v>1200</v>
      </c>
      <c r="BM51" s="17">
        <f t="shared" si="25"/>
        <v>0</v>
      </c>
      <c r="BN51" s="17">
        <f t="shared" si="26"/>
        <v>0</v>
      </c>
      <c r="BO51" s="17">
        <f t="shared" si="27"/>
        <v>0</v>
      </c>
      <c r="BP51" s="17">
        <f t="shared" si="28"/>
        <v>0</v>
      </c>
      <c r="BQ51" s="20">
        <f t="shared" si="29"/>
        <v>4651</v>
      </c>
      <c r="BR51" s="17">
        <f t="shared" si="30"/>
        <v>744.16</v>
      </c>
      <c r="BS51" s="17">
        <f t="shared" si="31"/>
        <v>5395.16</v>
      </c>
      <c r="BT51" s="21">
        <f t="shared" si="32"/>
        <v>186.04</v>
      </c>
      <c r="BU51" s="21">
        <f t="shared" si="33"/>
        <v>5209.12</v>
      </c>
      <c r="BV51" s="21">
        <f t="shared" si="34"/>
        <v>0</v>
      </c>
      <c r="BW51" s="21">
        <f t="shared" si="35"/>
        <v>5209.12</v>
      </c>
      <c r="BX51" s="22">
        <f t="shared" si="36"/>
        <v>0</v>
      </c>
      <c r="BY51" s="21">
        <f t="shared" si="37"/>
        <v>4651</v>
      </c>
      <c r="BZ51" s="23"/>
      <c r="CC51" s="23"/>
    </row>
    <row r="52" spans="1:81" x14ac:dyDescent="0.25">
      <c r="A52" s="10">
        <v>57937</v>
      </c>
      <c r="B52" s="32">
        <v>57937</v>
      </c>
      <c r="C52" s="32"/>
      <c r="D52" t="s">
        <v>69</v>
      </c>
      <c r="E52" t="s">
        <v>246</v>
      </c>
      <c r="F52" t="s">
        <v>142</v>
      </c>
      <c r="G52" t="s">
        <v>273</v>
      </c>
      <c r="H52" s="31" t="s">
        <v>143</v>
      </c>
      <c r="I52" s="30">
        <v>125292892</v>
      </c>
      <c r="J52" s="11"/>
      <c r="K52" s="11"/>
      <c r="L52" s="11"/>
      <c r="M52" s="12">
        <v>0</v>
      </c>
      <c r="N52" s="11"/>
      <c r="O52" s="11"/>
      <c r="P52" s="12">
        <v>0</v>
      </c>
      <c r="Q52" s="11"/>
      <c r="R52" s="11"/>
      <c r="S52" s="12">
        <v>0</v>
      </c>
      <c r="T52" s="12"/>
      <c r="U52" s="12"/>
      <c r="V52" s="12">
        <v>0</v>
      </c>
      <c r="W52" s="12"/>
      <c r="X52" s="12"/>
      <c r="Y52" s="12">
        <v>0</v>
      </c>
      <c r="Z52" s="11" t="s">
        <v>481</v>
      </c>
      <c r="AA52" s="11">
        <v>2019</v>
      </c>
      <c r="AB52" s="11" t="s">
        <v>132</v>
      </c>
      <c r="AC52" s="11" t="s">
        <v>482</v>
      </c>
      <c r="AD52" s="11" t="s">
        <v>483</v>
      </c>
      <c r="AE52" s="11" t="s">
        <v>484</v>
      </c>
      <c r="AF52" s="11" t="s">
        <v>78</v>
      </c>
      <c r="AG52" s="11" t="s">
        <v>485</v>
      </c>
      <c r="AH52" s="11" t="s">
        <v>486</v>
      </c>
      <c r="AI52" s="11" t="s">
        <v>487</v>
      </c>
      <c r="AJ52" s="11" t="s">
        <v>99</v>
      </c>
      <c r="AK52" s="11" t="s">
        <v>88</v>
      </c>
      <c r="AL52" s="11" t="s">
        <v>84</v>
      </c>
      <c r="AM52" s="12">
        <v>0</v>
      </c>
      <c r="AN52" s="25">
        <v>45956.093055555553</v>
      </c>
      <c r="AO52" s="25">
        <v>45956.107893518521</v>
      </c>
      <c r="AP52" s="25">
        <v>45956.137314814812</v>
      </c>
      <c r="AQ52" s="11">
        <v>0</v>
      </c>
      <c r="AR52" s="11" t="s">
        <v>488</v>
      </c>
      <c r="AS52" s="13">
        <v>20</v>
      </c>
      <c r="AT52" s="12">
        <v>25.5</v>
      </c>
      <c r="AU52" s="12">
        <v>0</v>
      </c>
      <c r="AV52" s="12">
        <v>850</v>
      </c>
      <c r="AW52" s="12">
        <v>0</v>
      </c>
      <c r="AX52" s="12">
        <v>250</v>
      </c>
      <c r="AY52" s="12">
        <v>0</v>
      </c>
      <c r="AZ52" s="12">
        <v>0</v>
      </c>
      <c r="BA52" s="12">
        <v>1360</v>
      </c>
      <c r="BB52" s="12">
        <v>0</v>
      </c>
      <c r="BC52" s="12">
        <v>1610</v>
      </c>
      <c r="BD52" s="14"/>
      <c r="BE52" s="15">
        <f t="shared" si="17"/>
        <v>45956</v>
      </c>
      <c r="BF52" s="16">
        <f t="shared" si="18"/>
        <v>0.10789351852145046</v>
      </c>
      <c r="BG52" s="17">
        <f t="shared" si="19"/>
        <v>850</v>
      </c>
      <c r="BH52" s="18">
        <f t="shared" si="20"/>
        <v>20</v>
      </c>
      <c r="BI52" s="19">
        <f t="shared" si="21"/>
        <v>25.5</v>
      </c>
      <c r="BJ52" s="17">
        <f t="shared" si="22"/>
        <v>1360</v>
      </c>
      <c r="BK52" s="17">
        <f t="shared" si="23"/>
        <v>0</v>
      </c>
      <c r="BL52" s="17">
        <f t="shared" si="24"/>
        <v>250</v>
      </c>
      <c r="BM52" s="17">
        <f t="shared" si="25"/>
        <v>0</v>
      </c>
      <c r="BN52" s="17">
        <f t="shared" si="26"/>
        <v>0</v>
      </c>
      <c r="BO52" s="17">
        <f t="shared" si="27"/>
        <v>0</v>
      </c>
      <c r="BP52" s="17">
        <f t="shared" si="28"/>
        <v>0</v>
      </c>
      <c r="BQ52" s="20">
        <f t="shared" si="29"/>
        <v>1610</v>
      </c>
      <c r="BR52" s="17">
        <f t="shared" si="30"/>
        <v>257.60000000000002</v>
      </c>
      <c r="BS52" s="17">
        <f t="shared" si="31"/>
        <v>1867.6</v>
      </c>
      <c r="BT52" s="21">
        <f t="shared" si="32"/>
        <v>64.400000000000006</v>
      </c>
      <c r="BU52" s="21">
        <f t="shared" si="33"/>
        <v>1803.1999999999998</v>
      </c>
      <c r="BV52" s="21">
        <f t="shared" si="34"/>
        <v>0</v>
      </c>
      <c r="BW52" s="21">
        <f t="shared" si="35"/>
        <v>1803.1999999999998</v>
      </c>
      <c r="BX52" s="22">
        <f t="shared" si="36"/>
        <v>0</v>
      </c>
      <c r="BY52" s="21">
        <f t="shared" si="37"/>
        <v>1610</v>
      </c>
      <c r="BZ52" s="23"/>
      <c r="CC52" s="23"/>
    </row>
    <row r="53" spans="1:81" x14ac:dyDescent="0.25">
      <c r="A53" s="10">
        <v>57942</v>
      </c>
      <c r="B53" s="32">
        <v>57942</v>
      </c>
      <c r="C53" s="32"/>
      <c r="D53" t="s">
        <v>69</v>
      </c>
      <c r="E53" t="s">
        <v>456</v>
      </c>
      <c r="F53" t="s">
        <v>142</v>
      </c>
      <c r="G53" t="s">
        <v>273</v>
      </c>
      <c r="H53" s="31" t="s">
        <v>295</v>
      </c>
      <c r="I53" s="30">
        <v>125292909</v>
      </c>
      <c r="J53" s="11"/>
      <c r="K53" s="11"/>
      <c r="L53" s="11"/>
      <c r="M53" s="12">
        <v>0</v>
      </c>
      <c r="N53" s="11"/>
      <c r="O53" s="11"/>
      <c r="P53" s="12">
        <v>0</v>
      </c>
      <c r="Q53" s="11"/>
      <c r="R53" s="11"/>
      <c r="S53" s="12">
        <v>0</v>
      </c>
      <c r="T53" s="12"/>
      <c r="U53" s="12"/>
      <c r="V53" s="12">
        <v>0</v>
      </c>
      <c r="W53" s="12"/>
      <c r="X53" s="12"/>
      <c r="Y53" s="12">
        <v>0</v>
      </c>
      <c r="Z53" s="11" t="s">
        <v>489</v>
      </c>
      <c r="AA53" s="11">
        <v>2018</v>
      </c>
      <c r="AB53" s="11" t="s">
        <v>132</v>
      </c>
      <c r="AC53" s="11" t="s">
        <v>490</v>
      </c>
      <c r="AD53" s="11" t="s">
        <v>491</v>
      </c>
      <c r="AE53" s="11" t="s">
        <v>317</v>
      </c>
      <c r="AF53" s="11" t="s">
        <v>78</v>
      </c>
      <c r="AG53" s="11" t="s">
        <v>492</v>
      </c>
      <c r="AH53" s="11" t="s">
        <v>493</v>
      </c>
      <c r="AI53" s="11" t="s">
        <v>494</v>
      </c>
      <c r="AJ53" s="11" t="s">
        <v>99</v>
      </c>
      <c r="AK53" s="11" t="s">
        <v>88</v>
      </c>
      <c r="AL53" s="11" t="s">
        <v>84</v>
      </c>
      <c r="AM53" s="12">
        <v>0</v>
      </c>
      <c r="AN53" s="25">
        <v>45956.224999999999</v>
      </c>
      <c r="AO53" s="25">
        <v>45956.266365740739</v>
      </c>
      <c r="AP53" s="25">
        <v>45956.306655092594</v>
      </c>
      <c r="AQ53" s="11">
        <v>0</v>
      </c>
      <c r="AR53" s="11" t="s">
        <v>495</v>
      </c>
      <c r="AS53" s="13">
        <v>6</v>
      </c>
      <c r="AT53" s="12">
        <v>0</v>
      </c>
      <c r="AU53" s="12">
        <v>0</v>
      </c>
      <c r="AV53" s="12">
        <v>800</v>
      </c>
      <c r="AW53" s="12">
        <v>300</v>
      </c>
      <c r="AX53" s="12">
        <v>0</v>
      </c>
      <c r="AY53" s="12">
        <v>0</v>
      </c>
      <c r="AZ53" s="12">
        <v>0</v>
      </c>
      <c r="BA53" s="12">
        <v>800</v>
      </c>
      <c r="BB53" s="12">
        <v>0</v>
      </c>
      <c r="BC53" s="12">
        <v>1100</v>
      </c>
      <c r="BD53" s="14"/>
      <c r="BE53" s="15">
        <f t="shared" si="17"/>
        <v>45956</v>
      </c>
      <c r="BF53" s="16">
        <f t="shared" si="18"/>
        <v>0.26636574073927477</v>
      </c>
      <c r="BG53" s="17">
        <f t="shared" si="19"/>
        <v>800</v>
      </c>
      <c r="BH53" s="18">
        <f t="shared" si="20"/>
        <v>6</v>
      </c>
      <c r="BI53" s="19">
        <f t="shared" si="21"/>
        <v>0</v>
      </c>
      <c r="BJ53" s="17">
        <f t="shared" si="22"/>
        <v>800</v>
      </c>
      <c r="BK53" s="17">
        <f t="shared" si="23"/>
        <v>300</v>
      </c>
      <c r="BL53" s="17">
        <f t="shared" si="24"/>
        <v>0</v>
      </c>
      <c r="BM53" s="17">
        <f t="shared" si="25"/>
        <v>0</v>
      </c>
      <c r="BN53" s="17">
        <f t="shared" si="26"/>
        <v>0</v>
      </c>
      <c r="BO53" s="17">
        <f t="shared" si="27"/>
        <v>0</v>
      </c>
      <c r="BP53" s="17">
        <f t="shared" si="28"/>
        <v>0</v>
      </c>
      <c r="BQ53" s="20">
        <f t="shared" si="29"/>
        <v>1100</v>
      </c>
      <c r="BR53" s="17">
        <f t="shared" si="30"/>
        <v>176</v>
      </c>
      <c r="BS53" s="17">
        <f t="shared" si="31"/>
        <v>1276</v>
      </c>
      <c r="BT53" s="21">
        <f t="shared" si="32"/>
        <v>44</v>
      </c>
      <c r="BU53" s="21">
        <f t="shared" si="33"/>
        <v>1232</v>
      </c>
      <c r="BV53" s="21">
        <f t="shared" si="34"/>
        <v>0</v>
      </c>
      <c r="BW53" s="21">
        <f t="shared" si="35"/>
        <v>1232</v>
      </c>
      <c r="BX53" s="22">
        <f t="shared" si="36"/>
        <v>0</v>
      </c>
      <c r="BY53" s="21">
        <f t="shared" si="37"/>
        <v>1100</v>
      </c>
      <c r="BZ53" s="23"/>
      <c r="CC53" s="23"/>
    </row>
    <row r="54" spans="1:81" x14ac:dyDescent="0.25">
      <c r="A54" s="11">
        <v>57944</v>
      </c>
      <c r="B54" s="32">
        <v>57944</v>
      </c>
      <c r="C54" s="32"/>
      <c r="D54" t="s">
        <v>69</v>
      </c>
      <c r="E54" t="s">
        <v>141</v>
      </c>
      <c r="F54" t="s">
        <v>142</v>
      </c>
      <c r="G54" t="s">
        <v>273</v>
      </c>
      <c r="H54" s="31" t="s">
        <v>143</v>
      </c>
      <c r="I54" s="30">
        <v>125292933</v>
      </c>
      <c r="J54" s="11"/>
      <c r="K54" s="11"/>
      <c r="L54" s="11"/>
      <c r="M54" s="12">
        <v>0</v>
      </c>
      <c r="N54" s="11"/>
      <c r="O54" s="11"/>
      <c r="P54" s="12">
        <v>0</v>
      </c>
      <c r="Q54" s="11"/>
      <c r="R54" s="11"/>
      <c r="S54" s="12">
        <v>0</v>
      </c>
      <c r="T54" s="12"/>
      <c r="U54" s="12"/>
      <c r="V54" s="12">
        <v>0</v>
      </c>
      <c r="W54" s="12"/>
      <c r="X54" s="12"/>
      <c r="Y54" s="12">
        <v>0</v>
      </c>
      <c r="Z54" s="11" t="s">
        <v>496</v>
      </c>
      <c r="AA54" s="11">
        <v>2016</v>
      </c>
      <c r="AB54" s="11" t="s">
        <v>132</v>
      </c>
      <c r="AC54" s="11" t="s">
        <v>497</v>
      </c>
      <c r="AD54" s="11" t="s">
        <v>498</v>
      </c>
      <c r="AE54" s="11" t="s">
        <v>499</v>
      </c>
      <c r="AF54" s="11" t="s">
        <v>78</v>
      </c>
      <c r="AG54" s="11" t="s">
        <v>500</v>
      </c>
      <c r="AH54" s="11" t="s">
        <v>501</v>
      </c>
      <c r="AI54" s="11" t="s">
        <v>267</v>
      </c>
      <c r="AJ54" s="11" t="s">
        <v>82</v>
      </c>
      <c r="AK54" s="11" t="s">
        <v>88</v>
      </c>
      <c r="AL54" s="11" t="s">
        <v>84</v>
      </c>
      <c r="AM54" s="12">
        <v>0</v>
      </c>
      <c r="AN54" s="25">
        <v>45956.336805555555</v>
      </c>
      <c r="AO54" s="25">
        <v>45956.388796296298</v>
      </c>
      <c r="AP54" s="25">
        <v>45956.423993055556</v>
      </c>
      <c r="AQ54" s="11">
        <v>27</v>
      </c>
      <c r="AR54" s="11" t="s">
        <v>502</v>
      </c>
      <c r="AS54" s="13">
        <v>50</v>
      </c>
      <c r="AT54" s="12">
        <v>25.5</v>
      </c>
      <c r="AU54" s="12">
        <v>0</v>
      </c>
      <c r="AV54" s="12">
        <v>850</v>
      </c>
      <c r="AW54" s="12">
        <v>0</v>
      </c>
      <c r="AX54" s="12">
        <v>301.72000000000003</v>
      </c>
      <c r="AY54" s="12">
        <v>0</v>
      </c>
      <c r="AZ54" s="12">
        <v>0</v>
      </c>
      <c r="BA54" s="12">
        <v>2125</v>
      </c>
      <c r="BB54" s="12">
        <v>0</v>
      </c>
      <c r="BC54" s="12">
        <v>2426.7199999999998</v>
      </c>
      <c r="BD54" s="14"/>
      <c r="BE54" s="15">
        <f t="shared" si="17"/>
        <v>45956</v>
      </c>
      <c r="BF54" s="16">
        <f t="shared" si="18"/>
        <v>0.38879629629809642</v>
      </c>
      <c r="BG54" s="17">
        <f t="shared" si="19"/>
        <v>850</v>
      </c>
      <c r="BH54" s="18">
        <f t="shared" si="20"/>
        <v>50</v>
      </c>
      <c r="BI54" s="19">
        <f t="shared" si="21"/>
        <v>25.5</v>
      </c>
      <c r="BJ54" s="17">
        <f t="shared" si="22"/>
        <v>2125</v>
      </c>
      <c r="BK54" s="17">
        <f t="shared" si="23"/>
        <v>0</v>
      </c>
      <c r="BL54" s="17">
        <f t="shared" si="24"/>
        <v>301.72000000000003</v>
      </c>
      <c r="BM54" s="17">
        <f t="shared" si="25"/>
        <v>0</v>
      </c>
      <c r="BN54" s="17">
        <f t="shared" si="26"/>
        <v>0</v>
      </c>
      <c r="BO54" s="17">
        <f t="shared" si="27"/>
        <v>0</v>
      </c>
      <c r="BP54" s="17">
        <f t="shared" si="28"/>
        <v>0</v>
      </c>
      <c r="BQ54" s="20">
        <f t="shared" si="29"/>
        <v>2426.7200000000003</v>
      </c>
      <c r="BR54" s="17">
        <f t="shared" si="30"/>
        <v>388.27520000000004</v>
      </c>
      <c r="BS54" s="17">
        <f t="shared" si="31"/>
        <v>2814.9952000000003</v>
      </c>
      <c r="BT54" s="21">
        <f t="shared" si="32"/>
        <v>97.06880000000001</v>
      </c>
      <c r="BU54" s="21">
        <f t="shared" si="33"/>
        <v>2717.9264000000003</v>
      </c>
      <c r="BV54" s="21">
        <f t="shared" si="34"/>
        <v>0</v>
      </c>
      <c r="BW54" s="21">
        <f t="shared" si="35"/>
        <v>2717.9264000000003</v>
      </c>
      <c r="BX54" s="22">
        <f t="shared" si="36"/>
        <v>0</v>
      </c>
      <c r="BY54" s="21">
        <f t="shared" si="37"/>
        <v>2426.7200000000003</v>
      </c>
      <c r="BZ54" s="23"/>
      <c r="CC54" s="23"/>
    </row>
    <row r="55" spans="1:81" x14ac:dyDescent="0.25">
      <c r="A55" s="11">
        <v>57951</v>
      </c>
      <c r="B55" s="32">
        <v>57951</v>
      </c>
      <c r="C55" s="32"/>
      <c r="D55" t="s">
        <v>69</v>
      </c>
      <c r="E55" t="s">
        <v>364</v>
      </c>
      <c r="F55" t="s">
        <v>142</v>
      </c>
      <c r="G55" t="s">
        <v>273</v>
      </c>
      <c r="H55" s="31" t="s">
        <v>143</v>
      </c>
      <c r="I55" s="30">
        <v>125292973</v>
      </c>
      <c r="J55" s="11"/>
      <c r="K55" s="11"/>
      <c r="L55" s="11"/>
      <c r="M55" s="12">
        <v>0</v>
      </c>
      <c r="N55" s="11"/>
      <c r="O55" s="11"/>
      <c r="P55" s="12">
        <v>0</v>
      </c>
      <c r="Q55" s="11"/>
      <c r="R55" s="11"/>
      <c r="S55" s="12">
        <v>0</v>
      </c>
      <c r="T55" s="12"/>
      <c r="U55" s="12"/>
      <c r="V55" s="12">
        <v>0</v>
      </c>
      <c r="W55" s="12"/>
      <c r="X55" s="12"/>
      <c r="Y55" s="12">
        <v>0</v>
      </c>
      <c r="Z55" s="11" t="s">
        <v>503</v>
      </c>
      <c r="AA55" s="11">
        <v>2025</v>
      </c>
      <c r="AB55" s="11" t="s">
        <v>504</v>
      </c>
      <c r="AC55" s="11" t="s">
        <v>505</v>
      </c>
      <c r="AD55" s="11" t="s">
        <v>506</v>
      </c>
      <c r="AE55" s="11" t="s">
        <v>507</v>
      </c>
      <c r="AF55" s="11" t="s">
        <v>78</v>
      </c>
      <c r="AG55" s="11" t="s">
        <v>508</v>
      </c>
      <c r="AH55" s="11" t="s">
        <v>509</v>
      </c>
      <c r="AI55" s="11" t="s">
        <v>487</v>
      </c>
      <c r="AJ55" s="11" t="s">
        <v>372</v>
      </c>
      <c r="AK55" s="11" t="s">
        <v>88</v>
      </c>
      <c r="AL55" s="11" t="s">
        <v>84</v>
      </c>
      <c r="AM55" s="12">
        <v>0</v>
      </c>
      <c r="AN55" s="25">
        <v>45956.464583333334</v>
      </c>
      <c r="AO55" s="25">
        <v>45956.499930555554</v>
      </c>
      <c r="AP55" s="25">
        <v>45956.6253125</v>
      </c>
      <c r="AQ55" s="11">
        <v>51</v>
      </c>
      <c r="AR55" s="11" t="s">
        <v>510</v>
      </c>
      <c r="AS55" s="13">
        <v>90</v>
      </c>
      <c r="AT55" s="12">
        <v>25.5</v>
      </c>
      <c r="AU55" s="12">
        <v>0</v>
      </c>
      <c r="AV55" s="12">
        <v>850</v>
      </c>
      <c r="AW55" s="12">
        <v>0</v>
      </c>
      <c r="AX55" s="12">
        <v>344.82</v>
      </c>
      <c r="AY55" s="12">
        <v>0</v>
      </c>
      <c r="AZ55" s="12">
        <v>0</v>
      </c>
      <c r="BA55" s="12">
        <v>3145</v>
      </c>
      <c r="BB55" s="12">
        <v>1000</v>
      </c>
      <c r="BC55" s="12">
        <v>4489.82</v>
      </c>
      <c r="BD55" s="14"/>
      <c r="BE55" s="15">
        <f t="shared" si="17"/>
        <v>45956</v>
      </c>
      <c r="BF55" s="16">
        <f t="shared" si="18"/>
        <v>0.499930555553874</v>
      </c>
      <c r="BG55" s="17">
        <f t="shared" si="19"/>
        <v>850</v>
      </c>
      <c r="BH55" s="18">
        <f t="shared" si="20"/>
        <v>90</v>
      </c>
      <c r="BI55" s="19">
        <f t="shared" si="21"/>
        <v>25.5</v>
      </c>
      <c r="BJ55" s="17">
        <f t="shared" si="22"/>
        <v>3145</v>
      </c>
      <c r="BK55" s="17">
        <f t="shared" si="23"/>
        <v>0</v>
      </c>
      <c r="BL55" s="17">
        <f t="shared" si="24"/>
        <v>344.82</v>
      </c>
      <c r="BM55" s="17">
        <f t="shared" si="25"/>
        <v>0</v>
      </c>
      <c r="BN55" s="17">
        <f t="shared" si="26"/>
        <v>0</v>
      </c>
      <c r="BO55" s="17">
        <f t="shared" si="27"/>
        <v>1000</v>
      </c>
      <c r="BP55" s="17">
        <f t="shared" si="28"/>
        <v>0</v>
      </c>
      <c r="BQ55" s="20">
        <f t="shared" si="29"/>
        <v>4489.82</v>
      </c>
      <c r="BR55" s="17">
        <f t="shared" si="30"/>
        <v>718.37119999999993</v>
      </c>
      <c r="BS55" s="17">
        <f t="shared" si="31"/>
        <v>5208.1911999999993</v>
      </c>
      <c r="BT55" s="21">
        <f t="shared" si="32"/>
        <v>179.59279999999998</v>
      </c>
      <c r="BU55" s="21">
        <f t="shared" si="33"/>
        <v>5028.5983999999989</v>
      </c>
      <c r="BV55" s="21">
        <f t="shared" si="34"/>
        <v>0</v>
      </c>
      <c r="BW55" s="21">
        <f t="shared" si="35"/>
        <v>5028.5983999999989</v>
      </c>
      <c r="BX55" s="22">
        <f t="shared" si="36"/>
        <v>0</v>
      </c>
      <c r="BY55" s="21">
        <f t="shared" si="37"/>
        <v>4489.82</v>
      </c>
      <c r="BZ55" s="23"/>
      <c r="CC55" s="23"/>
    </row>
    <row r="56" spans="1:81" x14ac:dyDescent="0.25">
      <c r="A56" s="10">
        <v>58009</v>
      </c>
      <c r="B56" s="32">
        <v>58009</v>
      </c>
      <c r="C56" s="32"/>
      <c r="D56" t="s">
        <v>69</v>
      </c>
      <c r="E56" t="s">
        <v>456</v>
      </c>
      <c r="F56" t="s">
        <v>142</v>
      </c>
      <c r="G56" t="s">
        <v>273</v>
      </c>
      <c r="H56" s="31" t="s">
        <v>143</v>
      </c>
      <c r="I56" s="30">
        <v>125292909</v>
      </c>
      <c r="J56" s="11"/>
      <c r="K56" s="11"/>
      <c r="L56" s="11"/>
      <c r="M56" s="12">
        <v>0</v>
      </c>
      <c r="N56" s="11"/>
      <c r="O56" s="11"/>
      <c r="P56" s="12">
        <v>0</v>
      </c>
      <c r="Q56" s="11"/>
      <c r="R56" s="11"/>
      <c r="S56" s="12">
        <v>0</v>
      </c>
      <c r="T56" s="12"/>
      <c r="U56" s="12"/>
      <c r="V56" s="12">
        <v>0</v>
      </c>
      <c r="W56" s="12"/>
      <c r="X56" s="12"/>
      <c r="Y56" s="12">
        <v>0</v>
      </c>
      <c r="Z56" s="11" t="s">
        <v>489</v>
      </c>
      <c r="AA56" s="11">
        <v>2018</v>
      </c>
      <c r="AB56" s="11" t="s">
        <v>132</v>
      </c>
      <c r="AC56" s="11" t="s">
        <v>490</v>
      </c>
      <c r="AD56" s="11" t="s">
        <v>463</v>
      </c>
      <c r="AE56" s="11" t="s">
        <v>511</v>
      </c>
      <c r="AF56" s="11" t="s">
        <v>78</v>
      </c>
      <c r="AG56" s="11" t="s">
        <v>492</v>
      </c>
      <c r="AH56" s="11" t="s">
        <v>80</v>
      </c>
      <c r="AI56" s="11" t="s">
        <v>190</v>
      </c>
      <c r="AJ56" s="11" t="s">
        <v>372</v>
      </c>
      <c r="AK56" s="11" t="s">
        <v>88</v>
      </c>
      <c r="AL56" s="11" t="s">
        <v>84</v>
      </c>
      <c r="AM56" s="12">
        <v>0</v>
      </c>
      <c r="AN56" s="25">
        <v>45957.29305555555</v>
      </c>
      <c r="AO56" s="25">
        <v>45957.419421296298</v>
      </c>
      <c r="AP56" s="25">
        <v>45957.507847222223</v>
      </c>
      <c r="AQ56" s="11">
        <v>0</v>
      </c>
      <c r="AR56" s="11" t="s">
        <v>512</v>
      </c>
      <c r="AS56" s="13">
        <v>28</v>
      </c>
      <c r="AT56" s="12">
        <v>25.5</v>
      </c>
      <c r="AU56" s="12">
        <v>0</v>
      </c>
      <c r="AV56" s="12">
        <v>850</v>
      </c>
      <c r="AW56" s="12">
        <v>0</v>
      </c>
      <c r="AX56" s="12">
        <v>0</v>
      </c>
      <c r="AY56" s="12">
        <v>0</v>
      </c>
      <c r="AZ56" s="12">
        <v>0</v>
      </c>
      <c r="BA56" s="12">
        <v>1564</v>
      </c>
      <c r="BB56" s="12">
        <v>0</v>
      </c>
      <c r="BC56" s="12">
        <v>1564</v>
      </c>
      <c r="BD56" s="14" t="s">
        <v>88</v>
      </c>
      <c r="BE56" s="15">
        <f t="shared" si="17"/>
        <v>45957</v>
      </c>
      <c r="BF56" s="16">
        <f t="shared" si="18"/>
        <v>0.41942129629751435</v>
      </c>
      <c r="BG56" s="17">
        <f t="shared" si="19"/>
        <v>850</v>
      </c>
      <c r="BH56" s="18">
        <f t="shared" si="20"/>
        <v>28</v>
      </c>
      <c r="BI56" s="19">
        <f t="shared" si="21"/>
        <v>25.5</v>
      </c>
      <c r="BJ56" s="17">
        <f t="shared" si="22"/>
        <v>1564</v>
      </c>
      <c r="BK56" s="17">
        <f t="shared" si="23"/>
        <v>0</v>
      </c>
      <c r="BL56" s="17">
        <f t="shared" si="24"/>
        <v>0</v>
      </c>
      <c r="BM56" s="17">
        <f t="shared" si="25"/>
        <v>0</v>
      </c>
      <c r="BN56" s="17">
        <f t="shared" si="26"/>
        <v>0</v>
      </c>
      <c r="BO56" s="17">
        <f t="shared" si="27"/>
        <v>0</v>
      </c>
      <c r="BP56" s="17">
        <f t="shared" si="28"/>
        <v>0</v>
      </c>
      <c r="BQ56" s="20">
        <f t="shared" si="29"/>
        <v>1564</v>
      </c>
      <c r="BR56" s="17">
        <f t="shared" si="30"/>
        <v>250.24</v>
      </c>
      <c r="BS56" s="17">
        <f t="shared" si="31"/>
        <v>1814.24</v>
      </c>
      <c r="BT56" s="21">
        <f t="shared" si="32"/>
        <v>62.56</v>
      </c>
      <c r="BU56" s="21">
        <f t="shared" si="33"/>
        <v>1751.68</v>
      </c>
      <c r="BV56" s="21">
        <f t="shared" si="34"/>
        <v>0</v>
      </c>
      <c r="BW56" s="21">
        <f t="shared" si="35"/>
        <v>1751.68</v>
      </c>
      <c r="BX56" s="22">
        <f t="shared" si="36"/>
        <v>0</v>
      </c>
      <c r="BY56" s="21">
        <f t="shared" si="37"/>
        <v>1564</v>
      </c>
      <c r="BZ56" s="23"/>
      <c r="CC56" s="23"/>
    </row>
    <row r="57" spans="1:81" x14ac:dyDescent="0.25">
      <c r="A57" s="10">
        <v>58020</v>
      </c>
      <c r="B57" s="32">
        <v>58020</v>
      </c>
      <c r="C57" s="32"/>
      <c r="D57" t="s">
        <v>69</v>
      </c>
      <c r="E57" t="s">
        <v>513</v>
      </c>
      <c r="F57" t="s">
        <v>142</v>
      </c>
      <c r="G57" t="s">
        <v>273</v>
      </c>
      <c r="H57" s="31" t="s">
        <v>143</v>
      </c>
      <c r="I57" s="30">
        <v>125293473</v>
      </c>
      <c r="J57" s="11"/>
      <c r="K57" s="27"/>
      <c r="L57" s="27"/>
      <c r="M57" s="12">
        <v>0</v>
      </c>
      <c r="N57" s="11"/>
      <c r="O57" s="11"/>
      <c r="P57" s="12">
        <v>0</v>
      </c>
      <c r="Q57" s="11"/>
      <c r="R57" s="11"/>
      <c r="S57" s="12">
        <v>0</v>
      </c>
      <c r="T57" s="12"/>
      <c r="U57" s="12"/>
      <c r="V57" s="12">
        <v>0</v>
      </c>
      <c r="W57" s="12"/>
      <c r="X57" s="12"/>
      <c r="Y57" s="12">
        <v>0</v>
      </c>
      <c r="Z57" s="11" t="s">
        <v>282</v>
      </c>
      <c r="AA57" s="11">
        <v>2020</v>
      </c>
      <c r="AB57" s="11" t="s">
        <v>74</v>
      </c>
      <c r="AC57" s="11" t="s">
        <v>514</v>
      </c>
      <c r="AD57" s="11" t="s">
        <v>515</v>
      </c>
      <c r="AE57" s="11" t="s">
        <v>516</v>
      </c>
      <c r="AF57" s="11" t="s">
        <v>78</v>
      </c>
      <c r="AG57" s="11" t="s">
        <v>517</v>
      </c>
      <c r="AH57" s="11" t="s">
        <v>486</v>
      </c>
      <c r="AI57" s="11" t="s">
        <v>487</v>
      </c>
      <c r="AJ57" s="11" t="s">
        <v>372</v>
      </c>
      <c r="AK57" s="11" t="s">
        <v>88</v>
      </c>
      <c r="AL57" s="11" t="s">
        <v>84</v>
      </c>
      <c r="AM57" s="12">
        <v>0</v>
      </c>
      <c r="AN57" s="25">
        <v>45957.414583333331</v>
      </c>
      <c r="AO57" s="25">
        <v>45957.465219907404</v>
      </c>
      <c r="AP57" s="25">
        <v>45957.512812500005</v>
      </c>
      <c r="AQ57" s="11">
        <v>92</v>
      </c>
      <c r="AR57" s="11" t="s">
        <v>518</v>
      </c>
      <c r="AS57" s="13">
        <v>133</v>
      </c>
      <c r="AT57" s="12">
        <v>25.5</v>
      </c>
      <c r="AU57" s="12">
        <v>0</v>
      </c>
      <c r="AV57" s="12">
        <v>850</v>
      </c>
      <c r="AW57" s="12">
        <v>0</v>
      </c>
      <c r="AX57" s="12">
        <v>1800</v>
      </c>
      <c r="AY57" s="12">
        <v>0</v>
      </c>
      <c r="AZ57" s="12">
        <v>0</v>
      </c>
      <c r="BA57" s="12">
        <v>4241.5</v>
      </c>
      <c r="BB57" s="12">
        <v>500</v>
      </c>
      <c r="BC57" s="12">
        <v>6541.5</v>
      </c>
      <c r="BD57" s="14" t="s">
        <v>88</v>
      </c>
      <c r="BE57" s="15">
        <f t="shared" si="17"/>
        <v>45957</v>
      </c>
      <c r="BF57" s="16">
        <f t="shared" si="18"/>
        <v>0.46521990740438923</v>
      </c>
      <c r="BG57" s="17">
        <f t="shared" si="19"/>
        <v>850</v>
      </c>
      <c r="BH57" s="18">
        <f t="shared" si="20"/>
        <v>133</v>
      </c>
      <c r="BI57" s="19">
        <f t="shared" si="21"/>
        <v>25.5</v>
      </c>
      <c r="BJ57" s="17">
        <f t="shared" si="22"/>
        <v>4241.5</v>
      </c>
      <c r="BK57" s="17">
        <f t="shared" si="23"/>
        <v>0</v>
      </c>
      <c r="BL57" s="17">
        <f t="shared" si="24"/>
        <v>1800</v>
      </c>
      <c r="BM57" s="17">
        <f t="shared" si="25"/>
        <v>0</v>
      </c>
      <c r="BN57" s="17">
        <f t="shared" si="26"/>
        <v>0</v>
      </c>
      <c r="BO57" s="17">
        <f t="shared" si="27"/>
        <v>500</v>
      </c>
      <c r="BP57" s="17">
        <f t="shared" si="28"/>
        <v>0</v>
      </c>
      <c r="BQ57" s="20">
        <f t="shared" si="29"/>
        <v>6541.5</v>
      </c>
      <c r="BR57" s="17">
        <f t="shared" si="30"/>
        <v>1046.6400000000001</v>
      </c>
      <c r="BS57" s="17">
        <f t="shared" si="31"/>
        <v>7588.14</v>
      </c>
      <c r="BT57" s="21">
        <f t="shared" si="32"/>
        <v>261.66000000000003</v>
      </c>
      <c r="BU57" s="21">
        <f t="shared" si="33"/>
        <v>7326.4800000000005</v>
      </c>
      <c r="BV57" s="21">
        <f t="shared" si="34"/>
        <v>0</v>
      </c>
      <c r="BW57" s="21">
        <f t="shared" si="35"/>
        <v>7326.4800000000005</v>
      </c>
      <c r="BX57" s="22">
        <f t="shared" si="36"/>
        <v>0</v>
      </c>
      <c r="BY57" s="21">
        <f t="shared" si="37"/>
        <v>6541.5</v>
      </c>
      <c r="BZ57" s="23"/>
      <c r="CC57" s="23"/>
    </row>
    <row r="58" spans="1:81" x14ac:dyDescent="0.25">
      <c r="A58" s="10">
        <v>58051</v>
      </c>
      <c r="B58" s="32">
        <v>58051</v>
      </c>
      <c r="C58" s="32"/>
      <c r="D58" t="s">
        <v>69</v>
      </c>
      <c r="E58" t="s">
        <v>519</v>
      </c>
      <c r="F58" t="s">
        <v>142</v>
      </c>
      <c r="G58" t="s">
        <v>273</v>
      </c>
      <c r="H58" s="31" t="s">
        <v>143</v>
      </c>
      <c r="I58" s="30">
        <v>125294295</v>
      </c>
      <c r="J58" s="11"/>
      <c r="K58" s="11"/>
      <c r="L58" s="11"/>
      <c r="M58" s="12">
        <v>0</v>
      </c>
      <c r="N58" s="11"/>
      <c r="O58" s="11"/>
      <c r="P58" s="12">
        <v>0</v>
      </c>
      <c r="Q58" s="11"/>
      <c r="R58" s="11"/>
      <c r="S58" s="12">
        <v>0</v>
      </c>
      <c r="T58" s="12"/>
      <c r="U58" s="12"/>
      <c r="V58" s="12">
        <v>0</v>
      </c>
      <c r="W58" s="12"/>
      <c r="X58" s="12"/>
      <c r="Y58" s="12">
        <v>0</v>
      </c>
      <c r="Z58" s="11" t="s">
        <v>90</v>
      </c>
      <c r="AA58" s="11">
        <v>2015</v>
      </c>
      <c r="AB58" s="11" t="s">
        <v>167</v>
      </c>
      <c r="AC58" s="11" t="s">
        <v>520</v>
      </c>
      <c r="AD58" s="11" t="s">
        <v>521</v>
      </c>
      <c r="AE58" s="11" t="s">
        <v>522</v>
      </c>
      <c r="AF58" s="11" t="s">
        <v>78</v>
      </c>
      <c r="AG58" s="11" t="s">
        <v>523</v>
      </c>
      <c r="AH58" s="11" t="s">
        <v>473</v>
      </c>
      <c r="AI58" s="11" t="s">
        <v>324</v>
      </c>
      <c r="AJ58" s="11" t="s">
        <v>325</v>
      </c>
      <c r="AK58" s="11" t="s">
        <v>88</v>
      </c>
      <c r="AL58" s="11" t="s">
        <v>84</v>
      </c>
      <c r="AM58" s="12">
        <v>0</v>
      </c>
      <c r="AN58" s="25">
        <v>45957.775694444441</v>
      </c>
      <c r="AO58" s="25">
        <v>45957.87222222222</v>
      </c>
      <c r="AP58" s="25">
        <v>45957.982523148152</v>
      </c>
      <c r="AQ58" s="11">
        <v>94</v>
      </c>
      <c r="AR58" s="11" t="s">
        <v>524</v>
      </c>
      <c r="AS58" s="13">
        <v>130</v>
      </c>
      <c r="AT58" s="12">
        <v>25.5</v>
      </c>
      <c r="AU58" s="12">
        <v>0</v>
      </c>
      <c r="AV58" s="12">
        <v>850</v>
      </c>
      <c r="AW58" s="12">
        <v>0</v>
      </c>
      <c r="AX58" s="12">
        <v>1379.31</v>
      </c>
      <c r="AY58" s="12">
        <v>0</v>
      </c>
      <c r="AZ58" s="12">
        <v>0</v>
      </c>
      <c r="BA58" s="12">
        <v>4165</v>
      </c>
      <c r="BB58" s="12">
        <v>1000</v>
      </c>
      <c r="BC58" s="12">
        <v>6544.31</v>
      </c>
      <c r="BD58" s="14" t="s">
        <v>88</v>
      </c>
      <c r="BE58" s="15">
        <f t="shared" si="17"/>
        <v>45957</v>
      </c>
      <c r="BF58" s="16">
        <f t="shared" si="18"/>
        <v>0.87222222222044365</v>
      </c>
      <c r="BG58" s="17">
        <f t="shared" si="19"/>
        <v>850</v>
      </c>
      <c r="BH58" s="18">
        <f t="shared" si="20"/>
        <v>130</v>
      </c>
      <c r="BI58" s="19">
        <f t="shared" si="21"/>
        <v>25.5</v>
      </c>
      <c r="BJ58" s="17">
        <f t="shared" si="22"/>
        <v>4165</v>
      </c>
      <c r="BK58" s="17">
        <f t="shared" si="23"/>
        <v>0</v>
      </c>
      <c r="BL58" s="17">
        <f t="shared" si="24"/>
        <v>1379.31</v>
      </c>
      <c r="BM58" s="17">
        <f t="shared" si="25"/>
        <v>0</v>
      </c>
      <c r="BN58" s="17">
        <f t="shared" si="26"/>
        <v>0</v>
      </c>
      <c r="BO58" s="17">
        <f t="shared" si="27"/>
        <v>1000</v>
      </c>
      <c r="BP58" s="17">
        <f t="shared" si="28"/>
        <v>0</v>
      </c>
      <c r="BQ58" s="20">
        <f t="shared" si="29"/>
        <v>6544.3099999999995</v>
      </c>
      <c r="BR58" s="17">
        <f t="shared" si="30"/>
        <v>1047.0896</v>
      </c>
      <c r="BS58" s="17">
        <f t="shared" si="31"/>
        <v>7591.3995999999997</v>
      </c>
      <c r="BT58" s="21">
        <f t="shared" si="32"/>
        <v>261.7724</v>
      </c>
      <c r="BU58" s="21">
        <f t="shared" si="33"/>
        <v>7329.6271999999999</v>
      </c>
      <c r="BV58" s="21">
        <f t="shared" si="34"/>
        <v>0</v>
      </c>
      <c r="BW58" s="21">
        <f t="shared" si="35"/>
        <v>7329.6271999999999</v>
      </c>
      <c r="BX58" s="22">
        <f t="shared" si="36"/>
        <v>0</v>
      </c>
      <c r="BY58" s="21">
        <f t="shared" si="37"/>
        <v>6544.3099999999995</v>
      </c>
      <c r="BZ58" s="23"/>
      <c r="CC58" s="23"/>
    </row>
    <row r="59" spans="1:81" x14ac:dyDescent="0.25">
      <c r="A59" s="10">
        <v>58074</v>
      </c>
      <c r="B59" s="11">
        <v>58074</v>
      </c>
      <c r="C59" s="11"/>
      <c r="D59" t="s">
        <v>69</v>
      </c>
      <c r="E59" t="s">
        <v>246</v>
      </c>
      <c r="F59" t="s">
        <v>142</v>
      </c>
      <c r="G59" t="s">
        <v>273</v>
      </c>
      <c r="H59" s="31" t="s">
        <v>143</v>
      </c>
      <c r="I59" s="30">
        <v>125294506</v>
      </c>
      <c r="J59" s="11"/>
      <c r="K59" s="11"/>
      <c r="L59" s="11"/>
      <c r="M59" s="12">
        <v>0</v>
      </c>
      <c r="N59" s="11"/>
      <c r="O59" s="11"/>
      <c r="P59" s="12">
        <v>0</v>
      </c>
      <c r="Q59" s="11"/>
      <c r="R59" s="11"/>
      <c r="S59" s="12">
        <v>0</v>
      </c>
      <c r="T59" s="12"/>
      <c r="U59" s="12"/>
      <c r="V59" s="12">
        <v>0</v>
      </c>
      <c r="W59" s="12"/>
      <c r="X59" s="12"/>
      <c r="Y59" s="12">
        <v>0</v>
      </c>
      <c r="Z59" s="11" t="s">
        <v>525</v>
      </c>
      <c r="AA59" s="11">
        <v>2012</v>
      </c>
      <c r="AB59" s="11" t="s">
        <v>167</v>
      </c>
      <c r="AC59" s="11" t="s">
        <v>526</v>
      </c>
      <c r="AD59" s="11" t="s">
        <v>527</v>
      </c>
      <c r="AE59" s="11" t="s">
        <v>528</v>
      </c>
      <c r="AF59" s="11" t="s">
        <v>78</v>
      </c>
      <c r="AG59" s="11" t="s">
        <v>529</v>
      </c>
      <c r="AH59" s="11" t="s">
        <v>486</v>
      </c>
      <c r="AI59" s="11" t="s">
        <v>487</v>
      </c>
      <c r="AJ59" s="11" t="s">
        <v>99</v>
      </c>
      <c r="AK59" s="11" t="s">
        <v>88</v>
      </c>
      <c r="AL59" s="11" t="s">
        <v>84</v>
      </c>
      <c r="AM59" s="12">
        <v>0</v>
      </c>
      <c r="AN59" s="25">
        <v>45958.068749999999</v>
      </c>
      <c r="AO59" s="25">
        <v>45958.110775462963</v>
      </c>
      <c r="AP59" s="25">
        <v>45958.164722222224</v>
      </c>
      <c r="AQ59" s="11">
        <v>0</v>
      </c>
      <c r="AR59" s="11" t="s">
        <v>530</v>
      </c>
      <c r="AS59" s="13">
        <v>50</v>
      </c>
      <c r="AT59" s="12">
        <v>25.5</v>
      </c>
      <c r="AU59" s="12">
        <v>0</v>
      </c>
      <c r="AV59" s="12">
        <v>850</v>
      </c>
      <c r="AW59" s="12">
        <v>0</v>
      </c>
      <c r="AX59" s="12">
        <v>300</v>
      </c>
      <c r="AY59" s="12">
        <v>0</v>
      </c>
      <c r="AZ59" s="12">
        <v>0</v>
      </c>
      <c r="BA59" s="12">
        <v>2125</v>
      </c>
      <c r="BB59" s="12">
        <v>0</v>
      </c>
      <c r="BC59" s="12">
        <v>2425</v>
      </c>
      <c r="BD59" s="14" t="s">
        <v>88</v>
      </c>
      <c r="BE59" s="15">
        <f t="shared" si="17"/>
        <v>45958</v>
      </c>
      <c r="BF59" s="16">
        <f t="shared" si="18"/>
        <v>0.11077546296291985</v>
      </c>
      <c r="BG59" s="17">
        <f t="shared" si="19"/>
        <v>850</v>
      </c>
      <c r="BH59" s="18">
        <f t="shared" si="20"/>
        <v>50</v>
      </c>
      <c r="BI59" s="19">
        <f t="shared" si="21"/>
        <v>25.5</v>
      </c>
      <c r="BJ59" s="17">
        <f t="shared" si="22"/>
        <v>2125</v>
      </c>
      <c r="BK59" s="17">
        <f t="shared" si="23"/>
        <v>0</v>
      </c>
      <c r="BL59" s="17">
        <f t="shared" si="24"/>
        <v>300</v>
      </c>
      <c r="BM59" s="17">
        <f t="shared" si="25"/>
        <v>0</v>
      </c>
      <c r="BN59" s="17">
        <f t="shared" si="26"/>
        <v>0</v>
      </c>
      <c r="BO59" s="17">
        <f t="shared" si="27"/>
        <v>0</v>
      </c>
      <c r="BP59" s="17">
        <f t="shared" si="28"/>
        <v>0</v>
      </c>
      <c r="BQ59" s="20">
        <f t="shared" si="29"/>
        <v>2425</v>
      </c>
      <c r="BR59" s="17">
        <f t="shared" si="30"/>
        <v>388</v>
      </c>
      <c r="BS59" s="17">
        <f t="shared" si="31"/>
        <v>2813</v>
      </c>
      <c r="BT59" s="21">
        <f t="shared" si="32"/>
        <v>97</v>
      </c>
      <c r="BU59" s="21">
        <f t="shared" si="33"/>
        <v>2716</v>
      </c>
      <c r="BV59" s="21">
        <f t="shared" si="34"/>
        <v>0</v>
      </c>
      <c r="BW59" s="21">
        <f t="shared" si="35"/>
        <v>2716</v>
      </c>
      <c r="BX59" s="22">
        <f t="shared" si="36"/>
        <v>0</v>
      </c>
      <c r="BY59" s="21">
        <f t="shared" si="37"/>
        <v>2425</v>
      </c>
      <c r="BZ59" s="23"/>
      <c r="CC59" s="23"/>
    </row>
    <row r="60" spans="1:81" x14ac:dyDescent="0.25">
      <c r="A60" s="10">
        <v>58101</v>
      </c>
      <c r="B60" s="11">
        <v>58101</v>
      </c>
      <c r="C60" s="11"/>
      <c r="D60" t="s">
        <v>69</v>
      </c>
      <c r="E60" t="s">
        <v>246</v>
      </c>
      <c r="F60" t="s">
        <v>165</v>
      </c>
      <c r="G60" t="s">
        <v>273</v>
      </c>
      <c r="H60" s="31" t="s">
        <v>143</v>
      </c>
      <c r="I60" s="30">
        <v>125294924</v>
      </c>
      <c r="J60" s="11"/>
      <c r="K60" s="26"/>
      <c r="L60" s="24"/>
      <c r="M60" s="12">
        <v>0</v>
      </c>
      <c r="N60" s="11"/>
      <c r="O60" s="11"/>
      <c r="P60" s="12">
        <v>0</v>
      </c>
      <c r="Q60" s="11"/>
      <c r="R60" s="11"/>
      <c r="S60" s="12">
        <v>0</v>
      </c>
      <c r="T60" s="12"/>
      <c r="U60" s="12"/>
      <c r="V60" s="12">
        <v>0</v>
      </c>
      <c r="W60" s="12"/>
      <c r="X60" s="12"/>
      <c r="Y60" s="12">
        <v>0</v>
      </c>
      <c r="Z60" s="11" t="s">
        <v>489</v>
      </c>
      <c r="AA60" s="11">
        <v>2018</v>
      </c>
      <c r="AB60" s="11" t="s">
        <v>132</v>
      </c>
      <c r="AC60" s="11" t="s">
        <v>133</v>
      </c>
      <c r="AD60" s="11" t="s">
        <v>531</v>
      </c>
      <c r="AE60" s="11" t="s">
        <v>532</v>
      </c>
      <c r="AF60" s="11" t="s">
        <v>78</v>
      </c>
      <c r="AG60" s="11" t="s">
        <v>533</v>
      </c>
      <c r="AH60" s="11" t="s">
        <v>534</v>
      </c>
      <c r="AI60" s="11" t="s">
        <v>172</v>
      </c>
      <c r="AJ60" s="11" t="s">
        <v>535</v>
      </c>
      <c r="AK60" s="11" t="s">
        <v>88</v>
      </c>
      <c r="AL60" s="11" t="s">
        <v>88</v>
      </c>
      <c r="AM60" s="12">
        <v>0</v>
      </c>
      <c r="AN60" s="25">
        <v>45958.516666666663</v>
      </c>
      <c r="AO60" s="25">
        <v>45958.516666666663</v>
      </c>
      <c r="AP60" s="25" t="s">
        <v>88</v>
      </c>
      <c r="AQ60" s="11">
        <v>43</v>
      </c>
      <c r="AR60" s="11" t="s">
        <v>536</v>
      </c>
      <c r="AS60" s="13">
        <v>14</v>
      </c>
      <c r="AT60" s="12">
        <v>25.5</v>
      </c>
      <c r="AU60" s="12" t="s">
        <v>88</v>
      </c>
      <c r="AV60" s="12">
        <v>850</v>
      </c>
      <c r="AW60" s="12">
        <v>0</v>
      </c>
      <c r="AX60" s="12">
        <v>0</v>
      </c>
      <c r="AY60" s="12">
        <v>0</v>
      </c>
      <c r="AZ60" s="12">
        <v>0</v>
      </c>
      <c r="BA60" s="12">
        <v>1207</v>
      </c>
      <c r="BB60" s="12">
        <v>0</v>
      </c>
      <c r="BC60" s="12">
        <v>1207</v>
      </c>
      <c r="BD60" s="14" t="s">
        <v>88</v>
      </c>
      <c r="BE60" s="15">
        <f t="shared" si="17"/>
        <v>45958</v>
      </c>
      <c r="BF60" s="16">
        <f t="shared" si="18"/>
        <v>0.51666666666278616</v>
      </c>
      <c r="BG60" s="17">
        <f t="shared" si="19"/>
        <v>850</v>
      </c>
      <c r="BH60" s="18">
        <f t="shared" si="20"/>
        <v>14</v>
      </c>
      <c r="BI60" s="19">
        <f t="shared" si="21"/>
        <v>25.5</v>
      </c>
      <c r="BJ60" s="17">
        <f t="shared" si="22"/>
        <v>1207</v>
      </c>
      <c r="BK60" s="17">
        <f t="shared" si="23"/>
        <v>0</v>
      </c>
      <c r="BL60" s="17">
        <f t="shared" si="24"/>
        <v>0</v>
      </c>
      <c r="BM60" s="17">
        <f t="shared" si="25"/>
        <v>0</v>
      </c>
      <c r="BN60" s="17">
        <f t="shared" si="26"/>
        <v>0</v>
      </c>
      <c r="BO60" s="17">
        <f t="shared" si="27"/>
        <v>0</v>
      </c>
      <c r="BP60" s="17">
        <f t="shared" si="28"/>
        <v>0</v>
      </c>
      <c r="BQ60" s="20">
        <f t="shared" si="29"/>
        <v>1207</v>
      </c>
      <c r="BR60" s="17">
        <f t="shared" si="30"/>
        <v>193.12</v>
      </c>
      <c r="BS60" s="17">
        <f t="shared" si="31"/>
        <v>1400.12</v>
      </c>
      <c r="BT60" s="21">
        <f t="shared" si="32"/>
        <v>48.28</v>
      </c>
      <c r="BU60" s="21">
        <f t="shared" si="33"/>
        <v>1351.84</v>
      </c>
      <c r="BV60" s="21">
        <f t="shared" si="34"/>
        <v>0</v>
      </c>
      <c r="BW60" s="21">
        <f t="shared" si="35"/>
        <v>1351.84</v>
      </c>
      <c r="BX60" s="22">
        <f t="shared" si="36"/>
        <v>0</v>
      </c>
      <c r="BY60" s="21">
        <f t="shared" si="37"/>
        <v>1207</v>
      </c>
      <c r="BZ60" s="23"/>
      <c r="CC60" s="23"/>
    </row>
    <row r="61" spans="1:81" x14ac:dyDescent="0.25">
      <c r="A61" s="10">
        <v>58114</v>
      </c>
      <c r="B61" s="11">
        <v>58114</v>
      </c>
      <c r="C61" s="11"/>
      <c r="D61" t="s">
        <v>69</v>
      </c>
      <c r="E61" t="s">
        <v>246</v>
      </c>
      <c r="F61" t="s">
        <v>142</v>
      </c>
      <c r="G61" t="s">
        <v>273</v>
      </c>
      <c r="H61" s="31" t="s">
        <v>143</v>
      </c>
      <c r="I61" s="30">
        <v>125294924</v>
      </c>
      <c r="J61" s="11"/>
      <c r="K61" s="11"/>
      <c r="L61" s="27"/>
      <c r="M61" s="12">
        <v>0</v>
      </c>
      <c r="N61" s="11"/>
      <c r="O61" s="11"/>
      <c r="P61" s="12">
        <v>0</v>
      </c>
      <c r="Q61" s="11"/>
      <c r="R61" s="11"/>
      <c r="S61" s="12">
        <v>0</v>
      </c>
      <c r="T61" s="12"/>
      <c r="U61" s="12"/>
      <c r="V61" s="12">
        <v>0</v>
      </c>
      <c r="W61" s="12"/>
      <c r="X61" s="12"/>
      <c r="Y61" s="12">
        <v>0</v>
      </c>
      <c r="Z61" s="11" t="s">
        <v>301</v>
      </c>
      <c r="AA61" s="11">
        <v>2018</v>
      </c>
      <c r="AB61" s="11" t="s">
        <v>132</v>
      </c>
      <c r="AC61" s="11" t="s">
        <v>537</v>
      </c>
      <c r="AD61" s="11" t="s">
        <v>538</v>
      </c>
      <c r="AE61" s="11" t="s">
        <v>539</v>
      </c>
      <c r="AF61" s="11" t="s">
        <v>78</v>
      </c>
      <c r="AG61" s="11" t="s">
        <v>533</v>
      </c>
      <c r="AH61" s="11" t="s">
        <v>109</v>
      </c>
      <c r="AI61" s="11" t="s">
        <v>229</v>
      </c>
      <c r="AJ61" s="11" t="s">
        <v>111</v>
      </c>
      <c r="AK61" s="11" t="s">
        <v>88</v>
      </c>
      <c r="AL61" s="11" t="s">
        <v>84</v>
      </c>
      <c r="AM61" s="12">
        <v>0</v>
      </c>
      <c r="AN61" s="25">
        <v>45958.678472222222</v>
      </c>
      <c r="AO61" s="25">
        <v>45958.710428240738</v>
      </c>
      <c r="AP61" s="25">
        <v>45958.731527777782</v>
      </c>
      <c r="AQ61" s="11">
        <v>27</v>
      </c>
      <c r="AR61" s="11" t="s">
        <v>540</v>
      </c>
      <c r="AS61" s="13">
        <v>50</v>
      </c>
      <c r="AT61" s="12">
        <v>25.5</v>
      </c>
      <c r="AU61" s="12">
        <v>0</v>
      </c>
      <c r="AV61" s="12">
        <v>850</v>
      </c>
      <c r="AW61" s="12">
        <v>0</v>
      </c>
      <c r="AX61" s="12">
        <v>250</v>
      </c>
      <c r="AY61" s="12">
        <v>0</v>
      </c>
      <c r="AZ61" s="12">
        <v>0</v>
      </c>
      <c r="BA61" s="12">
        <v>2125</v>
      </c>
      <c r="BB61" s="12">
        <v>0</v>
      </c>
      <c r="BC61" s="12">
        <v>2375</v>
      </c>
      <c r="BD61" s="14" t="s">
        <v>88</v>
      </c>
      <c r="BE61" s="15">
        <f t="shared" si="17"/>
        <v>45958</v>
      </c>
      <c r="BF61" s="16">
        <f t="shared" si="18"/>
        <v>0.71042824073811062</v>
      </c>
      <c r="BG61" s="17">
        <f t="shared" si="19"/>
        <v>850</v>
      </c>
      <c r="BH61" s="18">
        <f t="shared" si="20"/>
        <v>50</v>
      </c>
      <c r="BI61" s="19">
        <f t="shared" si="21"/>
        <v>25.5</v>
      </c>
      <c r="BJ61" s="17">
        <f t="shared" si="22"/>
        <v>2125</v>
      </c>
      <c r="BK61" s="17">
        <f t="shared" si="23"/>
        <v>0</v>
      </c>
      <c r="BL61" s="17">
        <f t="shared" si="24"/>
        <v>250</v>
      </c>
      <c r="BM61" s="17">
        <f t="shared" si="25"/>
        <v>0</v>
      </c>
      <c r="BN61" s="17">
        <f t="shared" si="26"/>
        <v>0</v>
      </c>
      <c r="BO61" s="17">
        <f t="shared" si="27"/>
        <v>0</v>
      </c>
      <c r="BP61" s="17">
        <f t="shared" si="28"/>
        <v>0</v>
      </c>
      <c r="BQ61" s="20">
        <f t="shared" si="29"/>
        <v>2375</v>
      </c>
      <c r="BR61" s="17">
        <f t="shared" si="30"/>
        <v>380</v>
      </c>
      <c r="BS61" s="17">
        <f t="shared" si="31"/>
        <v>2755</v>
      </c>
      <c r="BT61" s="21">
        <f t="shared" si="32"/>
        <v>95</v>
      </c>
      <c r="BU61" s="21">
        <f t="shared" si="33"/>
        <v>2660</v>
      </c>
      <c r="BV61" s="21">
        <f t="shared" si="34"/>
        <v>0</v>
      </c>
      <c r="BW61" s="21">
        <f t="shared" si="35"/>
        <v>2660</v>
      </c>
      <c r="BX61" s="22">
        <f t="shared" si="36"/>
        <v>0</v>
      </c>
      <c r="BY61" s="21">
        <f t="shared" si="37"/>
        <v>2375</v>
      </c>
      <c r="BZ61" s="23"/>
      <c r="CC61" s="23"/>
    </row>
    <row r="62" spans="1:81" ht="20.25" customHeight="1" x14ac:dyDescent="0.25">
      <c r="A62" s="11">
        <v>58192</v>
      </c>
      <c r="B62" s="11">
        <v>58192</v>
      </c>
      <c r="C62" s="11"/>
      <c r="D62" t="s">
        <v>69</v>
      </c>
      <c r="E62" t="s">
        <v>541</v>
      </c>
      <c r="F62" t="s">
        <v>142</v>
      </c>
      <c r="G62" t="s">
        <v>273</v>
      </c>
      <c r="H62" s="31" t="s">
        <v>143</v>
      </c>
      <c r="I62" s="30">
        <v>125296677</v>
      </c>
      <c r="J62" s="11"/>
      <c r="K62" s="27"/>
      <c r="L62" s="11"/>
      <c r="M62" s="12">
        <v>0</v>
      </c>
      <c r="N62" s="11"/>
      <c r="O62" s="11"/>
      <c r="P62" s="12">
        <v>0</v>
      </c>
      <c r="Q62" s="11"/>
      <c r="R62" s="11"/>
      <c r="S62" s="12">
        <v>0</v>
      </c>
      <c r="T62" s="12"/>
      <c r="U62" s="12"/>
      <c r="V62" s="12">
        <v>0</v>
      </c>
      <c r="W62" s="12"/>
      <c r="X62" s="12"/>
      <c r="Y62" s="12">
        <v>0</v>
      </c>
      <c r="Z62" s="11" t="s">
        <v>247</v>
      </c>
      <c r="AA62" s="11">
        <v>2017</v>
      </c>
      <c r="AB62" s="11" t="s">
        <v>542</v>
      </c>
      <c r="AC62" s="11" t="s">
        <v>543</v>
      </c>
      <c r="AD62" s="11" t="s">
        <v>544</v>
      </c>
      <c r="AE62" s="11" t="s">
        <v>545</v>
      </c>
      <c r="AF62" s="11" t="s">
        <v>78</v>
      </c>
      <c r="AG62" s="11" t="s">
        <v>546</v>
      </c>
      <c r="AH62" s="11" t="s">
        <v>361</v>
      </c>
      <c r="AI62" s="11" t="s">
        <v>241</v>
      </c>
      <c r="AJ62" s="11" t="s">
        <v>82</v>
      </c>
      <c r="AK62" s="11" t="s">
        <v>88</v>
      </c>
      <c r="AL62" s="11" t="s">
        <v>84</v>
      </c>
      <c r="AM62" s="12">
        <v>0</v>
      </c>
      <c r="AN62" s="25">
        <v>45959.907638888893</v>
      </c>
      <c r="AO62" s="25">
        <v>45959.933657407411</v>
      </c>
      <c r="AP62" s="25">
        <v>45959.954224537039</v>
      </c>
      <c r="AQ62" s="11">
        <v>1</v>
      </c>
      <c r="AR62" s="29" t="s">
        <v>547</v>
      </c>
      <c r="AS62" s="13">
        <v>30</v>
      </c>
      <c r="AT62" s="12">
        <v>25.5</v>
      </c>
      <c r="AU62" s="12">
        <v>0</v>
      </c>
      <c r="AV62" s="12">
        <v>850</v>
      </c>
      <c r="AW62" s="12">
        <v>0</v>
      </c>
      <c r="AX62" s="12">
        <v>0</v>
      </c>
      <c r="AY62" s="12">
        <v>0</v>
      </c>
      <c r="AZ62" s="12">
        <v>500</v>
      </c>
      <c r="BA62" s="12">
        <v>1615</v>
      </c>
      <c r="BB62" s="12">
        <v>0</v>
      </c>
      <c r="BC62" s="12">
        <v>2115</v>
      </c>
      <c r="BD62" s="14" t="s">
        <v>88</v>
      </c>
      <c r="BE62" s="15">
        <f t="shared" si="17"/>
        <v>45959</v>
      </c>
      <c r="BF62" s="16">
        <f t="shared" si="18"/>
        <v>0.93365740741137415</v>
      </c>
      <c r="BG62" s="17">
        <f t="shared" si="19"/>
        <v>850</v>
      </c>
      <c r="BH62" s="18">
        <f t="shared" si="20"/>
        <v>30</v>
      </c>
      <c r="BI62" s="19">
        <f t="shared" si="21"/>
        <v>25.5</v>
      </c>
      <c r="BJ62" s="17">
        <f t="shared" si="22"/>
        <v>1615</v>
      </c>
      <c r="BK62" s="17">
        <f t="shared" si="23"/>
        <v>0</v>
      </c>
      <c r="BL62" s="17">
        <f t="shared" si="24"/>
        <v>0</v>
      </c>
      <c r="BM62" s="17">
        <f t="shared" si="25"/>
        <v>0</v>
      </c>
      <c r="BN62" s="17">
        <f t="shared" si="26"/>
        <v>500</v>
      </c>
      <c r="BO62" s="17">
        <f t="shared" si="27"/>
        <v>0</v>
      </c>
      <c r="BP62" s="17">
        <f t="shared" si="28"/>
        <v>0</v>
      </c>
      <c r="BQ62" s="20">
        <f t="shared" si="29"/>
        <v>2115</v>
      </c>
      <c r="BR62" s="17">
        <f t="shared" si="30"/>
        <v>338.40000000000003</v>
      </c>
      <c r="BS62" s="17">
        <f t="shared" si="31"/>
        <v>2453.4</v>
      </c>
      <c r="BT62" s="21">
        <f t="shared" si="32"/>
        <v>84.600000000000009</v>
      </c>
      <c r="BU62" s="21">
        <f t="shared" si="33"/>
        <v>2368.8000000000002</v>
      </c>
      <c r="BV62" s="21">
        <f t="shared" si="34"/>
        <v>0</v>
      </c>
      <c r="BW62" s="21">
        <f t="shared" si="35"/>
        <v>2368.8000000000002</v>
      </c>
      <c r="BX62" s="22">
        <f t="shared" si="36"/>
        <v>0</v>
      </c>
      <c r="BY62" s="21">
        <f t="shared" si="37"/>
        <v>2115</v>
      </c>
      <c r="BZ62" s="23"/>
      <c r="CC62" s="23"/>
    </row>
    <row r="63" spans="1:81" x14ac:dyDescent="0.25">
      <c r="A63" s="10">
        <v>58196</v>
      </c>
      <c r="B63" s="11">
        <v>58196</v>
      </c>
      <c r="C63" s="11"/>
      <c r="D63" t="s">
        <v>69</v>
      </c>
      <c r="E63" t="s">
        <v>246</v>
      </c>
      <c r="F63" t="s">
        <v>142</v>
      </c>
      <c r="G63" t="s">
        <v>273</v>
      </c>
      <c r="H63" s="31" t="s">
        <v>143</v>
      </c>
      <c r="I63" s="30">
        <v>125296717</v>
      </c>
      <c r="J63" s="11"/>
      <c r="K63" s="11"/>
      <c r="L63" s="11"/>
      <c r="M63" s="12">
        <v>0</v>
      </c>
      <c r="N63" s="11"/>
      <c r="O63" s="11"/>
      <c r="P63" s="12">
        <v>0</v>
      </c>
      <c r="Q63" s="11"/>
      <c r="R63" s="11"/>
      <c r="S63" s="12">
        <v>0</v>
      </c>
      <c r="T63" s="12"/>
      <c r="U63" s="12"/>
      <c r="V63" s="12">
        <v>0</v>
      </c>
      <c r="W63" s="12"/>
      <c r="X63" s="12"/>
      <c r="Y63" s="12">
        <v>0</v>
      </c>
      <c r="Z63" s="11" t="s">
        <v>548</v>
      </c>
      <c r="AA63" s="11">
        <v>2015</v>
      </c>
      <c r="AB63" s="11" t="s">
        <v>549</v>
      </c>
      <c r="AC63" s="11" t="s">
        <v>550</v>
      </c>
      <c r="AD63" s="11" t="s">
        <v>551</v>
      </c>
      <c r="AE63" s="11" t="s">
        <v>552</v>
      </c>
      <c r="AF63" s="11" t="s">
        <v>78</v>
      </c>
      <c r="AG63" s="11" t="s">
        <v>553</v>
      </c>
      <c r="AH63" s="11" t="s">
        <v>329</v>
      </c>
      <c r="AI63" s="11" t="s">
        <v>267</v>
      </c>
      <c r="AJ63" s="11" t="s">
        <v>99</v>
      </c>
      <c r="AK63" s="11" t="s">
        <v>88</v>
      </c>
      <c r="AL63" s="11" t="s">
        <v>84</v>
      </c>
      <c r="AM63" s="12">
        <v>0</v>
      </c>
      <c r="AN63" s="25">
        <v>45959.970138888893</v>
      </c>
      <c r="AO63" s="25">
        <v>45960.042523148149</v>
      </c>
      <c r="AP63" s="25">
        <v>45960.095069444447</v>
      </c>
      <c r="AQ63" s="11">
        <v>0</v>
      </c>
      <c r="AR63" s="11" t="s">
        <v>554</v>
      </c>
      <c r="AS63" s="13">
        <v>75</v>
      </c>
      <c r="AT63" s="12">
        <v>25.5</v>
      </c>
      <c r="AU63" s="12">
        <v>0</v>
      </c>
      <c r="AV63" s="12">
        <v>850</v>
      </c>
      <c r="AW63" s="12">
        <v>0</v>
      </c>
      <c r="AX63" s="12">
        <v>700</v>
      </c>
      <c r="AY63" s="12">
        <v>0</v>
      </c>
      <c r="AZ63" s="12">
        <v>0</v>
      </c>
      <c r="BA63" s="12">
        <v>2762.5</v>
      </c>
      <c r="BB63" s="12">
        <v>0</v>
      </c>
      <c r="BC63" s="12">
        <v>3462.5</v>
      </c>
      <c r="BD63" s="14" t="s">
        <v>88</v>
      </c>
      <c r="BE63" s="15">
        <f t="shared" si="17"/>
        <v>45960</v>
      </c>
      <c r="BF63" s="16">
        <f t="shared" si="18"/>
        <v>4.2523148149484769E-2</v>
      </c>
      <c r="BG63" s="17">
        <f t="shared" si="19"/>
        <v>850</v>
      </c>
      <c r="BH63" s="18">
        <f t="shared" si="20"/>
        <v>75</v>
      </c>
      <c r="BI63" s="19">
        <f t="shared" si="21"/>
        <v>25.5</v>
      </c>
      <c r="BJ63" s="17">
        <f t="shared" si="22"/>
        <v>2762.5</v>
      </c>
      <c r="BK63" s="17">
        <f t="shared" si="23"/>
        <v>0</v>
      </c>
      <c r="BL63" s="17">
        <f t="shared" si="24"/>
        <v>700</v>
      </c>
      <c r="BM63" s="17">
        <f t="shared" si="25"/>
        <v>0</v>
      </c>
      <c r="BN63" s="17">
        <f t="shared" si="26"/>
        <v>0</v>
      </c>
      <c r="BO63" s="17">
        <f t="shared" si="27"/>
        <v>0</v>
      </c>
      <c r="BP63" s="17">
        <f t="shared" si="28"/>
        <v>0</v>
      </c>
      <c r="BQ63" s="20">
        <f t="shared" si="29"/>
        <v>3462.5</v>
      </c>
      <c r="BR63" s="17">
        <f t="shared" si="30"/>
        <v>554</v>
      </c>
      <c r="BS63" s="17">
        <f t="shared" si="31"/>
        <v>4016.5</v>
      </c>
      <c r="BT63" s="21">
        <f t="shared" si="32"/>
        <v>138.5</v>
      </c>
      <c r="BU63" s="21">
        <f t="shared" si="33"/>
        <v>3878</v>
      </c>
      <c r="BV63" s="21">
        <f t="shared" si="34"/>
        <v>0</v>
      </c>
      <c r="BW63" s="21">
        <f t="shared" si="35"/>
        <v>3878</v>
      </c>
      <c r="BX63" s="22">
        <f t="shared" si="36"/>
        <v>0</v>
      </c>
      <c r="BY63" s="21">
        <f t="shared" si="37"/>
        <v>3462.5</v>
      </c>
      <c r="BZ63" s="23"/>
      <c r="CC63" s="23"/>
    </row>
  </sheetData>
  <conditionalFormatting sqref="I1:K1">
    <cfRule type="cellIs" dxfId="2" priority="3" operator="equal">
      <formula>2110409724</formula>
    </cfRule>
  </conditionalFormatting>
  <conditionalFormatting sqref="L1:AI1">
    <cfRule type="cellIs" dxfId="1" priority="2" operator="equal">
      <formula>2110409724</formula>
    </cfRule>
  </conditionalFormatting>
  <conditionalFormatting sqref="AB48:AB49 AB39:AB40 AB32 AB23">
    <cfRule type="cellIs" dxfId="0" priority="1" operator="equal">
      <formula>2110409724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esquivel</dc:creator>
  <cp:lastModifiedBy>israel esquivel</cp:lastModifiedBy>
  <dcterms:created xsi:type="dcterms:W3CDTF">2025-11-14T16:29:52Z</dcterms:created>
  <dcterms:modified xsi:type="dcterms:W3CDTF">2025-11-14T16:34:43Z</dcterms:modified>
</cp:coreProperties>
</file>